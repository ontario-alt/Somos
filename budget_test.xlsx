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udget P&amp;L" sheetId="2" state="visible" r:id="rId4"/>
    <sheet name="Assumptions" sheetId="3" state="visible" r:id="rId5"/>
    <sheet name="People" sheetId="4" state="visible" r:id="rId6"/>
    <sheet name="Revenue by Person" sheetId="5" state="visible" r:id="rId7"/>
    <sheet name="Salary by Person" sheetId="6" state="visible" r:id="rId8"/>
    <sheet name="Overhead" sheetId="7" state="visible" r:id="rId9"/>
    <sheet name="Driver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Prior columns: last 12 months from Vantagepoint labor detail.</t>
        </r>
      </text>
    </comment>
  </commentList>
</comments>
</file>

<file path=xl/sharedStrings.xml><?xml version="1.0" encoding="utf-8"?>
<sst xmlns="http://schemas.openxmlformats.org/spreadsheetml/2006/main" count="264" uniqueCount="167">
  <si>
    <t xml:space="preserve">Somos Group budget, calendar 2027</t>
  </si>
  <si>
    <t xml:space="preserve">How it works</t>
  </si>
  <si>
    <t xml:space="preserve">Fee revenue = billable hours x seasonality weight x billing rate x realization, for each month a person is on staff.</t>
  </si>
  <si>
    <t xml:space="preserve">Salaries = annual salary / 12 for each month on staff, with the raise from the raise month. Fringe % is added on top.</t>
  </si>
  <si>
    <t xml:space="preserve">Overhead = prior-year actual x (1 + change %), or a fixed amount if you type one, spread evenly over 12 months.</t>
  </si>
  <si>
    <t xml:space="preserve">Prior-year revenue and payroll lines marked 'People plan' are replaced by the people plan, so they aren't counted twice.</t>
  </si>
  <si>
    <t xml:space="preserve">Drivers = lines you enter: owner draws, guaranteed payments, bonuses, leases, capex. Owner draws sit below net income.</t>
  </si>
  <si>
    <t xml:space="preserve">What to edit</t>
  </si>
  <si>
    <t xml:space="preserve">Blue text = inputs you can change. Black = formulas. Green = links to another sheet. Yellow = key assumptions.</t>
  </si>
  <si>
    <t xml:space="preserve">Assumptions: rates, raises, fringe, realization, seasonality.</t>
  </si>
  <si>
    <t xml:space="preserve">People: Include (Y/N), start/end month, salary, billable hours, rate, realization. Add a row for a new hire.</t>
  </si>
  <si>
    <t xml:space="preserve">Overhead: Treatment, Change %, or a Fixed amount (overrides Change %).</t>
  </si>
  <si>
    <t xml:space="preserve">Drivers: amount, basis (Per month / Per year / One-time), start and end month. Section 'Owner draws' goes below net income.</t>
  </si>
  <si>
    <t xml:space="preserve">To add people, overhead lines or drivers, insert rows inside each table (above its last row) so the totals pick them up.</t>
  </si>
  <si>
    <t xml:space="preserve">Sources: Vantagepoint (employee cost rates, labor detail, targets) and the firm's P&amp;L workbook or GL, as loaded in the dashboard.</t>
  </si>
  <si>
    <t xml:space="preserve">Budget P&amp;L, calendar 2027</t>
  </si>
  <si>
    <t xml:space="preserve">Line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</si>
  <si>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</si>
  <si>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</si>
  <si>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</si>
  <si>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</si>
  <si>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</si>
  <si>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</si>
  <si>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</si>
  <si>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</si>
  <si>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</si>
  <si>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</si>
  <si>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</si>
  <si>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</si>
  <si>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</si>
  <si>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Prior year</t>
  </si>
  <si>
    <t xml:space="preserve">Change ($)</t>
  </si>
  <si>
    <t xml:space="preserve">Change %</t>
  </si>
  <si>
    <t xml:space="preserve">Revenue</t>
  </si>
  <si>
    <t xml:space="preserve">  Fee revenue (people plan)</t>
  </si>
  <si>
    <t xml:space="preserve">  Reimbursed Expenses</t>
  </si>
  <si>
    <t xml:space="preserve">Total revenue</t>
  </si>
  <si>
    <t xml:space="preserve">Personnel</t>
  </si>
  <si>
    <t xml:space="preserve">  Salaries (people plan)</t>
  </si>
  <si>
    <t xml:space="preserve">  Payroll taxes &amp; benefits (fringe)</t>
  </si>
  <si>
    <t xml:space="preserve">  Year-end bonus pool</t>
  </si>
  <si>
    <t xml:space="preserve">Total personnel</t>
  </si>
  <si>
    <t xml:space="preserve">Operating expenses</t>
  </si>
  <si>
    <t xml:space="preserve">  Rent</t>
  </si>
  <si>
    <t xml:space="preserve">  Software &amp; Subscriptions</t>
  </si>
  <si>
    <t xml:space="preserve">  Professional Fees</t>
  </si>
  <si>
    <t xml:space="preserve">  New office lease</t>
  </si>
  <si>
    <t xml:space="preserve">Total operating expenses</t>
  </si>
  <si>
    <t xml:space="preserve">Other income &amp; expense</t>
  </si>
  <si>
    <t xml:space="preserve">  Interest Income</t>
  </si>
  <si>
    <t xml:space="preserve">  Interest Expense</t>
  </si>
  <si>
    <t xml:space="preserve">Total expenses</t>
  </si>
  <si>
    <t xml:space="preserve">Net income before owner draws</t>
  </si>
  <si>
    <t xml:space="preserve">  Net margin</t>
  </si>
  <si>
    <t xml:space="preserve">Owner draws</t>
  </si>
  <si>
    <t xml:space="preserve">  Owner draw - Partner A</t>
  </si>
  <si>
    <t xml:space="preserve">  Owner draw - Partner B</t>
  </si>
  <si>
    <t xml:space="preserve">Total owner draws</t>
  </si>
  <si>
    <t xml:space="preserve">Remaining after owner draws</t>
  </si>
  <si>
    <t xml:space="preserve">Check: drivers not on the P&amp;L (should be 0)</t>
  </si>
  <si>
    <t xml:space="preserve">Assumptions</t>
  </si>
  <si>
    <t xml:space="preserve">Assumption</t>
  </si>
  <si>
    <t xml:space="preserve">Value</t>
  </si>
  <si>
    <t xml:space="preserve">Note</t>
  </si>
  <si>
    <t xml:space="preserve">Budget year</t>
  </si>
  <si>
    <t xml:space="preserve">2027</t>
  </si>
  <si>
    <t xml:space="preserve">Calendar year</t>
  </si>
  <si>
    <t xml:space="preserve">Billing rate increase</t>
  </si>
  <si>
    <t xml:space="preserve">Applied to every person's rate</t>
  </si>
  <si>
    <t xml:space="preserve">Rate increase month (1-12)</t>
  </si>
  <si>
    <t xml:space="preserve">New rates apply from this month</t>
  </si>
  <si>
    <t xml:space="preserve">Salary increase</t>
  </si>
  <si>
    <t xml:space="preserve">Annual raise</t>
  </si>
  <si>
    <t xml:space="preserve">Salary increase month (1-12)</t>
  </si>
  <si>
    <t xml:space="preserve">Raises apply from this month</t>
  </si>
  <si>
    <t xml:space="preserve">Payroll taxes &amp; benefits (fringe)</t>
  </si>
  <si>
    <t xml:space="preserve">On top of salaries. Fringe only, not overhead.</t>
  </si>
  <si>
    <t xml:space="preserve">Default realization</t>
  </si>
  <si>
    <t xml:space="preserve">Billed / standard value, for new people rows</t>
  </si>
  <si>
    <t xml:space="preserve">Default overhead change</t>
  </si>
  <si>
    <t xml:space="preserve">For prior-year overhead lines</t>
  </si>
  <si>
    <t xml:space="preserve">Seasonality (share of annual billable hours by month)</t>
  </si>
  <si>
    <t xml:space="preserve">Default = share of Mon-Fri workdays. Must total 100%.</t>
  </si>
  <si>
    <t xml:space="preserve">People plan</t>
  </si>
  <si>
    <t xml:space="preserve">Example of a new hire row: Y | New Associate | Attorney | 4 | 12 | 150000 | 1900 | 325 | 90%</t>
  </si>
  <si>
    <t xml:space="preserve">Include (Y/N)</t>
  </si>
  <si>
    <t xml:space="preserve">Name</t>
  </si>
  <si>
    <t xml:space="preserve">Role</t>
  </si>
  <si>
    <t xml:space="preserve">Start month</t>
  </si>
  <si>
    <t xml:space="preserve">End month</t>
  </si>
  <si>
    <t xml:space="preserve">Annual salary ($)</t>
  </si>
  <si>
    <t xml:space="preserve">Billable hours (annual)</t>
  </si>
  <si>
    <t xml:space="preserve">Billing rate ($/hr)</t>
  </si>
  <si>
    <t xml:space="preserve">Realization</t>
  </si>
  <si>
    <t xml:space="preserve">Budget revenue ($)</t>
  </si>
  <si>
    <t xml:space="preserve">Salary + fringe ($)</t>
  </si>
  <si>
    <t xml:space="preserve">Contribution ($)</t>
  </si>
  <si>
    <t xml:space="preserve">Prior billable hours</t>
  </si>
  <si>
    <t xml:space="preserve">Prior rate ($/hr)</t>
  </si>
  <si>
    <t xml:space="preserve">Y</t>
  </si>
  <si>
    <t xml:space="preserve">Ann Associate</t>
  </si>
  <si>
    <t xml:space="preserve">Attorney</t>
  </si>
  <si>
    <t xml:space="preserve">Paul Planner</t>
  </si>
  <si>
    <t xml:space="preserve">Planner</t>
  </si>
  <si>
    <t xml:space="preserve">Kim Lee</t>
  </si>
  <si>
    <t xml:space="preserve">Principal</t>
  </si>
  <si>
    <t xml:space="preserve">Paid by owner draw (Budget drivers)</t>
  </si>
  <si>
    <t xml:space="preserve">Pat Owner Jr.</t>
  </si>
  <si>
    <t xml:space="preserve">N</t>
  </si>
  <si>
    <t xml:space="preserve">Sam Staff</t>
  </si>
  <si>
    <t xml:space="preserve">Employee</t>
  </si>
  <si>
    <t xml:space="preserve">Revenue by Person (hours x weight x rate x realization)</t>
  </si>
  <si>
    <t xml:space="preserve">Salary by Person (before fringe)</t>
  </si>
  <si>
    <t xml:space="preserve">Prior-year lines (overhead and other)</t>
  </si>
  <si>
    <t xml:space="preserve">Treatment: 'Prior year + %' grows the line; 'People plan' replaces it with the people plan (fee revenue / payroll); 'Exclude' drops it. Fixed amount overrides Change %.</t>
  </si>
  <si>
    <t xml:space="preserve">Section</t>
  </si>
  <si>
    <t xml:space="preserve">Category</t>
  </si>
  <si>
    <t xml:space="preserve">Account</t>
  </si>
  <si>
    <t xml:space="preserve">Line item</t>
  </si>
  <si>
    <t xml:space="preserve">Treatment</t>
  </si>
  <si>
    <t xml:space="preserve">Prior year ($)</t>
  </si>
  <si>
    <t xml:space="preserve">Fixed amount ($)</t>
  </si>
  <si>
    <t xml:space="preserve">Budget ($)</t>
  </si>
  <si>
    <t xml:space="preserve">4000</t>
  </si>
  <si>
    <t xml:space="preserve">Legal Fees</t>
  </si>
  <si>
    <t xml:space="preserve">4100</t>
  </si>
  <si>
    <t xml:space="preserve">Planning Fees</t>
  </si>
  <si>
    <t xml:space="preserve">4900</t>
  </si>
  <si>
    <t xml:space="preserve">Reimbursed Expenses</t>
  </si>
  <si>
    <t xml:space="preserve">Prior year + %</t>
  </si>
  <si>
    <t xml:space="preserve">Other Income</t>
  </si>
  <si>
    <t xml:space="preserve">7000</t>
  </si>
  <si>
    <t xml:space="preserve">Interest Income</t>
  </si>
  <si>
    <t xml:space="preserve">Expense</t>
  </si>
  <si>
    <t xml:space="preserve">Payroll Expenses</t>
  </si>
  <si>
    <t xml:space="preserve">6010</t>
  </si>
  <si>
    <t xml:space="preserve">Salaries &amp; Wages</t>
  </si>
  <si>
    <t xml:space="preserve">6020</t>
  </si>
  <si>
    <t xml:space="preserve">Payroll Taxes</t>
  </si>
  <si>
    <t xml:space="preserve">6030</t>
  </si>
  <si>
    <t xml:space="preserve">Health Insurance</t>
  </si>
  <si>
    <t xml:space="preserve">6100</t>
  </si>
  <si>
    <t xml:space="preserve">Rent</t>
  </si>
  <si>
    <t xml:space="preserve">6200</t>
  </si>
  <si>
    <t xml:space="preserve">Software &amp; Subscriptions</t>
  </si>
  <si>
    <t xml:space="preserve">6300</t>
  </si>
  <si>
    <t xml:space="preserve">Professional Fees</t>
  </si>
  <si>
    <t xml:space="preserve">Other Expense</t>
  </si>
  <si>
    <t xml:space="preserve">8000</t>
  </si>
  <si>
    <t xml:space="preserve">Interest Expense</t>
  </si>
  <si>
    <t xml:space="preserve">Budget drivers (owner draws, guaranteed payments, bonuses, leases, capex...)</t>
  </si>
  <si>
    <t xml:space="preserve">Example: Y | Owner draw - Partner A | Owner draws | Partner A | 50000 | Per month | 1 | 12</t>
  </si>
  <si>
    <t xml:space="preserve">Driver</t>
  </si>
  <si>
    <t xml:space="preserve">Person</t>
  </si>
  <si>
    <t xml:space="preserve">Amount ($)</t>
  </si>
  <si>
    <t xml:space="preserve">Basis</t>
  </si>
  <si>
    <t xml:space="preserve">Annual total ($)</t>
  </si>
  <si>
    <t xml:space="preserve">Owner draw - Partner A</t>
  </si>
  <si>
    <t xml:space="preserve">Pat Owner</t>
  </si>
  <si>
    <t xml:space="preserve">Per month</t>
  </si>
  <si>
    <t xml:space="preserve">Owner draw - Partner B</t>
  </si>
  <si>
    <t xml:space="preserve">Kim</t>
  </si>
  <si>
    <t xml:space="preserve">Year-end bonus pool</t>
  </si>
  <si>
    <t xml:space="preserve">One-time</t>
  </si>
  <si>
    <t xml:space="preserve">New office lease</t>
  </si>
  <si>
    <t xml:space="preserve">Operating expense</t>
  </si>
  <si>
    <t xml:space="preserve">Per year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</si>
</sst>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"/>
    <numFmt numFmtId="168" formatCode="#,##0;\(#,##0\);\-"/>
    <numFmt numFmtId="169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2"/>
    <col collapsed="false" customWidth="true" hidden="false" outlineLevel="0" max="15" min="14" style="0" width="14"/>
    <col collapsed="false" customWidth="true" hidden="false" outlineLevel="0" max="16" min="16" style="0" width="13"/>
    <col collapsed="false" customWidth="true" hidden="false" outlineLevel="0" max="17" min="17" style="0" width="10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  <c r="J3" s="4" t="n">
        <v>9</v>
      </c>
      <c r="K3" s="4" t="n">
        <v>10</v>
      </c>
      <c r="L3" s="4" t="n">
        <v>11</v>
      </c>
      <c r="M3" s="4" t="n">
        <v>12</v>
      </c>
    </row>
    <row r="4" customFormat="false" ht="26.85" hidden="false" customHeight="false" outlineLevel="0" collapsed="false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5" t="s">
        <v>29</v>
      </c>
      <c r="O4" s="5" t="s">
        <v>30</v>
      </c>
      <c r="P4" s="5" t="s">
        <v>31</v>
      </c>
      <c r="Q4" s="5" t="s">
        <v>32</v>
      </c>
    </row>
    <row r="5" customFormat="false" ht="15" hidden="false" customHeight="false" outlineLevel="0" collapsed="false">
      <c r="A5" s="3" t="s">
        <v>33</v>
      </c>
    </row>
    <row r="6" customFormat="false" ht="15" hidden="false" customHeight="false" outlineLevel="0" collapsed="false">
      <c r="A6" s="2" t="s">
        <v>34</v>
      </c>
      <c r="B6" s="7" t="n">
        <f aca="false">'Revenue by Person'!C11</f>
        <v>231525</v>
      </c>
      <c r="C6" s="7" t="n">
        <f aca="false">'Revenue by Person'!D11</f>
        <v>220500</v>
      </c>
      <c r="D6" s="7" t="n">
        <f aca="false">'Revenue by Person'!E11</f>
        <v>253575</v>
      </c>
      <c r="E6" s="7" t="n">
        <f aca="false">'Revenue by Person'!F11</f>
        <v>242550</v>
      </c>
      <c r="F6" s="7" t="n">
        <f aca="false">'Revenue by Person'!G11</f>
        <v>231525</v>
      </c>
      <c r="G6" s="7" t="n">
        <f aca="false">'Revenue by Person'!H11</f>
        <v>242550</v>
      </c>
      <c r="H6" s="7" t="n">
        <f aca="false">'Revenue by Person'!I11</f>
        <v>242550</v>
      </c>
      <c r="I6" s="7" t="n">
        <f aca="false">'Revenue by Person'!J11</f>
        <v>242550</v>
      </c>
      <c r="J6" s="7" t="n">
        <f aca="false">'Revenue by Person'!K11</f>
        <v>242550</v>
      </c>
      <c r="K6" s="7" t="n">
        <f aca="false">'Revenue by Person'!L11</f>
        <v>231525</v>
      </c>
      <c r="L6" s="7" t="n">
        <f aca="false">'Revenue by Person'!M11</f>
        <v>242550</v>
      </c>
      <c r="M6" s="7" t="n">
        <f aca="false">'Revenue by Person'!N11</f>
        <v>253575</v>
      </c>
      <c r="N6" s="8" t="n">
        <f aca="false">SUM(B6:M6)</f>
        <v>2877525</v>
      </c>
      <c r="O6" s="7" t="n">
        <f aca="false">SUMIFS(Overhead!$F$5:$F$16,Overhead!$A$5:$A$16,"Revenue",Overhead!$E$5:$E$16,"People plan")</f>
        <v>5024787.21</v>
      </c>
      <c r="P6" s="8" t="n">
        <f aca="false">N6-O6</f>
        <v>-2147262.21</v>
      </c>
      <c r="Q6" s="9" t="n">
        <f aca="false">IF(O6=0,"",N6/O6-1)</f>
        <v>-0.427333958685188</v>
      </c>
    </row>
    <row r="7" customFormat="false" ht="15" hidden="false" customHeight="false" outlineLevel="0" collapsed="false">
      <c r="A7" s="2" t="s">
        <v>35</v>
      </c>
      <c r="B7" s="8" t="n">
        <f aca="false">Overhead!$I$7/12</f>
        <v>4916.254375</v>
      </c>
      <c r="C7" s="8" t="n">
        <f aca="false">Overhead!$I$7/12</f>
        <v>4916.254375</v>
      </c>
      <c r="D7" s="8" t="n">
        <f aca="false">Overhead!$I$7/12</f>
        <v>4916.254375</v>
      </c>
      <c r="E7" s="8" t="n">
        <f aca="false">Overhead!$I$7/12</f>
        <v>4916.254375</v>
      </c>
      <c r="F7" s="8" t="n">
        <f aca="false">Overhead!$I$7/12</f>
        <v>4916.254375</v>
      </c>
      <c r="G7" s="8" t="n">
        <f aca="false">Overhead!$I$7/12</f>
        <v>4916.254375</v>
      </c>
      <c r="H7" s="8" t="n">
        <f aca="false">Overhead!$I$7/12</f>
        <v>4916.254375</v>
      </c>
      <c r="I7" s="8" t="n">
        <f aca="false">Overhead!$I$7/12</f>
        <v>4916.254375</v>
      </c>
      <c r="J7" s="8" t="n">
        <f aca="false">Overhead!$I$7/12</f>
        <v>4916.254375</v>
      </c>
      <c r="K7" s="8" t="n">
        <f aca="false">Overhead!$I$7/12</f>
        <v>4916.254375</v>
      </c>
      <c r="L7" s="8" t="n">
        <f aca="false">Overhead!$I$7/12</f>
        <v>4916.254375</v>
      </c>
      <c r="M7" s="8" t="n">
        <f aca="false">Overhead!$I$7/12</f>
        <v>4916.254375</v>
      </c>
      <c r="N7" s="8" t="n">
        <f aca="false">SUM(B7:M7)</f>
        <v>58995.0525</v>
      </c>
      <c r="O7" s="7" t="n">
        <f aca="false">Overhead!F7</f>
        <v>57276.75</v>
      </c>
      <c r="P7" s="8" t="n">
        <f aca="false">N7-O7</f>
        <v>1718.30249999999</v>
      </c>
      <c r="Q7" s="9" t="n">
        <f aca="false">IF(O7=0,"",N7/O7-1)</f>
        <v>0.0299999999999998</v>
      </c>
    </row>
    <row r="8" customFormat="false" ht="15" hidden="false" customHeight="false" outlineLevel="0" collapsed="false">
      <c r="A8" s="10" t="s">
        <v>36</v>
      </c>
      <c r="B8" s="11" t="n">
        <f aca="false">B6+B7</f>
        <v>236441.254375</v>
      </c>
      <c r="C8" s="11" t="n">
        <f aca="false">C6+C7</f>
        <v>225416.254375</v>
      </c>
      <c r="D8" s="11" t="n">
        <f aca="false">D6+D7</f>
        <v>258491.254375</v>
      </c>
      <c r="E8" s="11" t="n">
        <f aca="false">E6+E7</f>
        <v>247466.254375</v>
      </c>
      <c r="F8" s="11" t="n">
        <f aca="false">F6+F7</f>
        <v>236441.254375</v>
      </c>
      <c r="G8" s="11" t="n">
        <f aca="false">G6+G7</f>
        <v>247466.254375</v>
      </c>
      <c r="H8" s="11" t="n">
        <f aca="false">H6+H7</f>
        <v>247466.254375</v>
      </c>
      <c r="I8" s="11" t="n">
        <f aca="false">I6+I7</f>
        <v>247466.254375</v>
      </c>
      <c r="J8" s="11" t="n">
        <f aca="false">J6+J7</f>
        <v>247466.254375</v>
      </c>
      <c r="K8" s="11" t="n">
        <f aca="false">K6+K7</f>
        <v>236441.254375</v>
      </c>
      <c r="L8" s="11" t="n">
        <f aca="false">L6+L7</f>
        <v>247466.254375</v>
      </c>
      <c r="M8" s="11" t="n">
        <f aca="false">M6+M7</f>
        <v>258491.254375</v>
      </c>
      <c r="N8" s="11" t="n">
        <f aca="false">SUM(B8:M8)</f>
        <v>2936520.0525</v>
      </c>
      <c r="O8" s="12" t="n">
        <f aca="false">SUMIFS(Overhead!$F$5:$F$16,Overhead!$A$5:$A$16,"Revenue",Overhead!$E$5:$E$16,"&lt;&gt;Exclude")</f>
        <v>5082063.96</v>
      </c>
      <c r="P8" s="13" t="n">
        <f aca="false">N8-O8</f>
        <v>-2145543.9075</v>
      </c>
      <c r="Q8" s="14" t="n">
        <f aca="false">IF(O8=0,"",N8/O8-1)</f>
        <v>-0.422179634964689</v>
      </c>
    </row>
    <row r="10" customFormat="false" ht="15" hidden="false" customHeight="false" outlineLevel="0" collapsed="false">
      <c r="A10" s="3" t="s">
        <v>37</v>
      </c>
    </row>
    <row r="11" customFormat="false" ht="15" hidden="false" customHeight="false" outlineLevel="0" collapsed="false">
      <c r="A11" s="2" t="s">
        <v>38</v>
      </c>
      <c r="B11" s="7" t="n">
        <f aca="false">'Salary by Person'!C11</f>
        <v>22660</v>
      </c>
      <c r="C11" s="7" t="n">
        <f aca="false">'Salary by Person'!D11</f>
        <v>22660</v>
      </c>
      <c r="D11" s="7" t="n">
        <f aca="false">'Salary by Person'!E11</f>
        <v>22660</v>
      </c>
      <c r="E11" s="7" t="n">
        <f aca="false">'Salary by Person'!F11</f>
        <v>22660</v>
      </c>
      <c r="F11" s="7" t="n">
        <f aca="false">'Salary by Person'!G11</f>
        <v>22660</v>
      </c>
      <c r="G11" s="7" t="n">
        <f aca="false">'Salary by Person'!H11</f>
        <v>22660</v>
      </c>
      <c r="H11" s="7" t="n">
        <f aca="false">'Salary by Person'!I11</f>
        <v>22660</v>
      </c>
      <c r="I11" s="7" t="n">
        <f aca="false">'Salary by Person'!J11</f>
        <v>22660</v>
      </c>
      <c r="J11" s="7" t="n">
        <f aca="false">'Salary by Person'!K11</f>
        <v>22660</v>
      </c>
      <c r="K11" s="7" t="n">
        <f aca="false">'Salary by Person'!L11</f>
        <v>22660</v>
      </c>
      <c r="L11" s="7" t="n">
        <f aca="false">'Salary by Person'!M11</f>
        <v>22660</v>
      </c>
      <c r="M11" s="7" t="n">
        <f aca="false">'Salary by Person'!N11</f>
        <v>22660</v>
      </c>
      <c r="N11" s="8" t="n">
        <f aca="false">SUM(B11:M11)</f>
        <v>271920</v>
      </c>
    </row>
    <row r="12" customFormat="false" ht="15" hidden="false" customHeight="false" outlineLevel="0" collapsed="false">
      <c r="A12" s="2" t="s">
        <v>39</v>
      </c>
      <c r="B12" s="8" t="n">
        <f aca="false">B11*Assumptions!$B$9</f>
        <v>3716.24</v>
      </c>
      <c r="C12" s="8" t="n">
        <f aca="false">C11*Assumptions!$B$9</f>
        <v>3716.24</v>
      </c>
      <c r="D12" s="8" t="n">
        <f aca="false">D11*Assumptions!$B$9</f>
        <v>3716.24</v>
      </c>
      <c r="E12" s="8" t="n">
        <f aca="false">E11*Assumptions!$B$9</f>
        <v>3716.24</v>
      </c>
      <c r="F12" s="8" t="n">
        <f aca="false">F11*Assumptions!$B$9</f>
        <v>3716.24</v>
      </c>
      <c r="G12" s="8" t="n">
        <f aca="false">G11*Assumptions!$B$9</f>
        <v>3716.24</v>
      </c>
      <c r="H12" s="8" t="n">
        <f aca="false">H11*Assumptions!$B$9</f>
        <v>3716.24</v>
      </c>
      <c r="I12" s="8" t="n">
        <f aca="false">I11*Assumptions!$B$9</f>
        <v>3716.24</v>
      </c>
      <c r="J12" s="8" t="n">
        <f aca="false">J11*Assumptions!$B$9</f>
        <v>3716.24</v>
      </c>
      <c r="K12" s="8" t="n">
        <f aca="false">K11*Assumptions!$B$9</f>
        <v>3716.24</v>
      </c>
      <c r="L12" s="8" t="n">
        <f aca="false">L11*Assumptions!$B$9</f>
        <v>3716.24</v>
      </c>
      <c r="M12" s="8" t="n">
        <f aca="false">M11*Assumptions!$B$9</f>
        <v>3716.24</v>
      </c>
      <c r="N12" s="8" t="n">
        <f aca="false">SUM(B12:M12)</f>
        <v>44594.88</v>
      </c>
    </row>
    <row r="13" customFormat="false" ht="15" hidden="false" customHeight="false" outlineLevel="0" collapsed="false">
      <c r="A13" s="2" t="s">
        <v>40</v>
      </c>
      <c r="B13" s="7" t="n">
        <f aca="false">Drivers!K7</f>
        <v>0</v>
      </c>
      <c r="C13" s="7" t="n">
        <f aca="false">Drivers!L7</f>
        <v>0</v>
      </c>
      <c r="D13" s="7" t="n">
        <f aca="false">Drivers!M7</f>
        <v>0</v>
      </c>
      <c r="E13" s="7" t="n">
        <f aca="false">Drivers!N7</f>
        <v>0</v>
      </c>
      <c r="F13" s="7" t="n">
        <f aca="false">Drivers!O7</f>
        <v>0</v>
      </c>
      <c r="G13" s="7" t="n">
        <f aca="false">Drivers!P7</f>
        <v>0</v>
      </c>
      <c r="H13" s="7" t="n">
        <f aca="false">Drivers!Q7</f>
        <v>0</v>
      </c>
      <c r="I13" s="7" t="n">
        <f aca="false">Drivers!R7</f>
        <v>0</v>
      </c>
      <c r="J13" s="7" t="n">
        <f aca="false">Drivers!S7</f>
        <v>0</v>
      </c>
      <c r="K13" s="7" t="n">
        <f aca="false">Drivers!T7</f>
        <v>0</v>
      </c>
      <c r="L13" s="7" t="n">
        <f aca="false">Drivers!U7</f>
        <v>0</v>
      </c>
      <c r="M13" s="7" t="n">
        <f aca="false">Drivers!V7</f>
        <v>120000</v>
      </c>
      <c r="N13" s="8" t="n">
        <f aca="false">SUM(B13:M13)</f>
        <v>120000</v>
      </c>
    </row>
    <row r="14" customFormat="false" ht="15" hidden="false" customHeight="false" outlineLevel="0" collapsed="false">
      <c r="A14" s="10" t="s">
        <v>41</v>
      </c>
      <c r="B14" s="11" t="n">
        <f aca="false">B11+B12+B13</f>
        <v>26376.24</v>
      </c>
      <c r="C14" s="11" t="n">
        <f aca="false">C11+C12+C13</f>
        <v>26376.24</v>
      </c>
      <c r="D14" s="11" t="n">
        <f aca="false">D11+D12+D13</f>
        <v>26376.24</v>
      </c>
      <c r="E14" s="11" t="n">
        <f aca="false">E11+E12+E13</f>
        <v>26376.24</v>
      </c>
      <c r="F14" s="11" t="n">
        <f aca="false">F11+F12+F13</f>
        <v>26376.24</v>
      </c>
      <c r="G14" s="11" t="n">
        <f aca="false">G11+G12+G13</f>
        <v>26376.24</v>
      </c>
      <c r="H14" s="11" t="n">
        <f aca="false">H11+H12+H13</f>
        <v>26376.24</v>
      </c>
      <c r="I14" s="11" t="n">
        <f aca="false">I11+I12+I13</f>
        <v>26376.24</v>
      </c>
      <c r="J14" s="11" t="n">
        <f aca="false">J11+J12+J13</f>
        <v>26376.24</v>
      </c>
      <c r="K14" s="11" t="n">
        <f aca="false">K11+K12+K13</f>
        <v>26376.24</v>
      </c>
      <c r="L14" s="11" t="n">
        <f aca="false">L11+L12+L13</f>
        <v>26376.24</v>
      </c>
      <c r="M14" s="11" t="n">
        <f aca="false">M11+M12+M13</f>
        <v>146376.24</v>
      </c>
      <c r="N14" s="11" t="n">
        <f aca="false">SUM(B14:M14)</f>
        <v>436514.88</v>
      </c>
      <c r="O14" s="12" t="n">
        <f aca="false">SUMIFS(Overhead!$F$5:$F$16,Overhead!$A$5:$A$16,"Expense",Overhead!$E$5:$E$16,"People plan")+SUMIFS(Overhead!$F$5:$F$16,Overhead!$A$5:$A$16,"COGS",Overhead!$E$5:$E$16,"People plan")</f>
        <v>2092613.71</v>
      </c>
      <c r="P14" s="13" t="n">
        <f aca="false">N14-O14</f>
        <v>-1656098.83</v>
      </c>
      <c r="Q14" s="14" t="n">
        <f aca="false">IF(O14=0,"",N14/O14-1)</f>
        <v>-0.791402073916452</v>
      </c>
    </row>
    <row r="16" customFormat="false" ht="15" hidden="false" customHeight="false" outlineLevel="0" collapsed="false">
      <c r="A16" s="3" t="s">
        <v>42</v>
      </c>
    </row>
    <row r="17" customFormat="false" ht="15" hidden="false" customHeight="false" outlineLevel="0" collapsed="false">
      <c r="A17" s="2" t="s">
        <v>43</v>
      </c>
      <c r="B17" s="8" t="n">
        <f aca="false">Overhead!$I$12/12</f>
        <v>26082.223925</v>
      </c>
      <c r="C17" s="8" t="n">
        <f aca="false">Overhead!$I$12/12</f>
        <v>26082.223925</v>
      </c>
      <c r="D17" s="8" t="n">
        <f aca="false">Overhead!$I$12/12</f>
        <v>26082.223925</v>
      </c>
      <c r="E17" s="8" t="n">
        <f aca="false">Overhead!$I$12/12</f>
        <v>26082.223925</v>
      </c>
      <c r="F17" s="8" t="n">
        <f aca="false">Overhead!$I$12/12</f>
        <v>26082.223925</v>
      </c>
      <c r="G17" s="8" t="n">
        <f aca="false">Overhead!$I$12/12</f>
        <v>26082.223925</v>
      </c>
      <c r="H17" s="8" t="n">
        <f aca="false">Overhead!$I$12/12</f>
        <v>26082.223925</v>
      </c>
      <c r="I17" s="8" t="n">
        <f aca="false">Overhead!$I$12/12</f>
        <v>26082.223925</v>
      </c>
      <c r="J17" s="8" t="n">
        <f aca="false">Overhead!$I$12/12</f>
        <v>26082.223925</v>
      </c>
      <c r="K17" s="8" t="n">
        <f aca="false">Overhead!$I$12/12</f>
        <v>26082.223925</v>
      </c>
      <c r="L17" s="8" t="n">
        <f aca="false">Overhead!$I$12/12</f>
        <v>26082.223925</v>
      </c>
      <c r="M17" s="8" t="n">
        <f aca="false">Overhead!$I$12/12</f>
        <v>26082.223925</v>
      </c>
      <c r="N17" s="8" t="n">
        <f aca="false">SUM(B17:M17)</f>
        <v>312986.6871</v>
      </c>
      <c r="O17" s="7" t="n">
        <f aca="false">Overhead!F12</f>
        <v>303870.57</v>
      </c>
      <c r="P17" s="8" t="n">
        <f aca="false">N17-O17</f>
        <v>9116.11710000003</v>
      </c>
      <c r="Q17" s="9" t="n">
        <f aca="false">IF(O17=0,"",N17/O17-1)</f>
        <v>0.03</v>
      </c>
    </row>
    <row r="18" customFormat="false" ht="15" hidden="false" customHeight="false" outlineLevel="0" collapsed="false">
      <c r="A18" s="2" t="s">
        <v>44</v>
      </c>
      <c r="B18" s="8" t="n">
        <f aca="false">Overhead!$I$13/12</f>
        <v>8447.93554166667</v>
      </c>
      <c r="C18" s="8" t="n">
        <f aca="false">Overhead!$I$13/12</f>
        <v>8447.93554166667</v>
      </c>
      <c r="D18" s="8" t="n">
        <f aca="false">Overhead!$I$13/12</f>
        <v>8447.93554166667</v>
      </c>
      <c r="E18" s="8" t="n">
        <f aca="false">Overhead!$I$13/12</f>
        <v>8447.93554166667</v>
      </c>
      <c r="F18" s="8" t="n">
        <f aca="false">Overhead!$I$13/12</f>
        <v>8447.93554166667</v>
      </c>
      <c r="G18" s="8" t="n">
        <f aca="false">Overhead!$I$13/12</f>
        <v>8447.93554166667</v>
      </c>
      <c r="H18" s="8" t="n">
        <f aca="false">Overhead!$I$13/12</f>
        <v>8447.93554166667</v>
      </c>
      <c r="I18" s="8" t="n">
        <f aca="false">Overhead!$I$13/12</f>
        <v>8447.93554166667</v>
      </c>
      <c r="J18" s="8" t="n">
        <f aca="false">Overhead!$I$13/12</f>
        <v>8447.93554166667</v>
      </c>
      <c r="K18" s="8" t="n">
        <f aca="false">Overhead!$I$13/12</f>
        <v>8447.93554166667</v>
      </c>
      <c r="L18" s="8" t="n">
        <f aca="false">Overhead!$I$13/12</f>
        <v>8447.93554166667</v>
      </c>
      <c r="M18" s="8" t="n">
        <f aca="false">Overhead!$I$13/12</f>
        <v>8447.93554166667</v>
      </c>
      <c r="N18" s="8" t="n">
        <f aca="false">SUM(B18:M18)</f>
        <v>101375.2265</v>
      </c>
      <c r="O18" s="7" t="n">
        <f aca="false">Overhead!F13</f>
        <v>98422.55</v>
      </c>
      <c r="P18" s="8" t="n">
        <f aca="false">N18-O18</f>
        <v>2952.6765</v>
      </c>
      <c r="Q18" s="9" t="n">
        <f aca="false">IF(O18=0,"",N18/O18-1)</f>
        <v>0.03</v>
      </c>
    </row>
    <row r="19" customFormat="false" ht="15" hidden="false" customHeight="false" outlineLevel="0" collapsed="false">
      <c r="A19" s="2" t="s">
        <v>45</v>
      </c>
      <c r="B19" s="8" t="n">
        <f aca="false">Overhead!$I$14/12</f>
        <v>4099.6575</v>
      </c>
      <c r="C19" s="8" t="n">
        <f aca="false">Overhead!$I$14/12</f>
        <v>4099.6575</v>
      </c>
      <c r="D19" s="8" t="n">
        <f aca="false">Overhead!$I$14/12</f>
        <v>4099.6575</v>
      </c>
      <c r="E19" s="8" t="n">
        <f aca="false">Overhead!$I$14/12</f>
        <v>4099.6575</v>
      </c>
      <c r="F19" s="8" t="n">
        <f aca="false">Overhead!$I$14/12</f>
        <v>4099.6575</v>
      </c>
      <c r="G19" s="8" t="n">
        <f aca="false">Overhead!$I$14/12</f>
        <v>4099.6575</v>
      </c>
      <c r="H19" s="8" t="n">
        <f aca="false">Overhead!$I$14/12</f>
        <v>4099.6575</v>
      </c>
      <c r="I19" s="8" t="n">
        <f aca="false">Overhead!$I$14/12</f>
        <v>4099.6575</v>
      </c>
      <c r="J19" s="8" t="n">
        <f aca="false">Overhead!$I$14/12</f>
        <v>4099.6575</v>
      </c>
      <c r="K19" s="8" t="n">
        <f aca="false">Overhead!$I$14/12</f>
        <v>4099.6575</v>
      </c>
      <c r="L19" s="8" t="n">
        <f aca="false">Overhead!$I$14/12</f>
        <v>4099.6575</v>
      </c>
      <c r="M19" s="8" t="n">
        <f aca="false">Overhead!$I$14/12</f>
        <v>4099.6575</v>
      </c>
      <c r="N19" s="8" t="n">
        <f aca="false">SUM(B19:M19)</f>
        <v>49195.89</v>
      </c>
      <c r="O19" s="7" t="n">
        <f aca="false">Overhead!F14</f>
        <v>47763</v>
      </c>
      <c r="P19" s="8" t="n">
        <f aca="false">N19-O19</f>
        <v>1432.89000000001</v>
      </c>
      <c r="Q19" s="9" t="n">
        <f aca="false">IF(O19=0,"",N19/O19-1)</f>
        <v>0.0300000000000003</v>
      </c>
    </row>
    <row r="20" customFormat="false" ht="15" hidden="false" customHeight="false" outlineLevel="0" collapsed="false">
      <c r="A20" s="2" t="s">
        <v>46</v>
      </c>
      <c r="B20" s="7" t="n">
        <f aca="false">Drivers!K8</f>
        <v>0</v>
      </c>
      <c r="C20" s="7" t="n">
        <f aca="false">Drivers!L8</f>
        <v>0</v>
      </c>
      <c r="D20" s="7" t="n">
        <f aca="false">Drivers!M8</f>
        <v>0</v>
      </c>
      <c r="E20" s="7" t="n">
        <f aca="false">Drivers!N8</f>
        <v>0</v>
      </c>
      <c r="F20" s="7" t="n">
        <f aca="false">Drivers!O8</f>
        <v>0</v>
      </c>
      <c r="G20" s="7" t="n">
        <f aca="false">Drivers!P8</f>
        <v>0</v>
      </c>
      <c r="H20" s="7" t="n">
        <f aca="false">Drivers!Q8</f>
        <v>10000</v>
      </c>
      <c r="I20" s="7" t="n">
        <f aca="false">Drivers!R8</f>
        <v>10000</v>
      </c>
      <c r="J20" s="7" t="n">
        <f aca="false">Drivers!S8</f>
        <v>10000</v>
      </c>
      <c r="K20" s="7" t="n">
        <f aca="false">Drivers!T8</f>
        <v>10000</v>
      </c>
      <c r="L20" s="7" t="n">
        <f aca="false">Drivers!U8</f>
        <v>10000</v>
      </c>
      <c r="M20" s="7" t="n">
        <f aca="false">Drivers!V8</f>
        <v>10000</v>
      </c>
      <c r="N20" s="8" t="n">
        <f aca="false">SUM(B20:M20)</f>
        <v>60000</v>
      </c>
    </row>
    <row r="21" customFormat="false" ht="15" hidden="false" customHeight="false" outlineLevel="0" collapsed="false">
      <c r="A21" s="10" t="s">
        <v>47</v>
      </c>
      <c r="B21" s="11" t="n">
        <f aca="false">B17+B18+B19+B20</f>
        <v>38629.8169666667</v>
      </c>
      <c r="C21" s="11" t="n">
        <f aca="false">C17+C18+C19+C20</f>
        <v>38629.8169666667</v>
      </c>
      <c r="D21" s="11" t="n">
        <f aca="false">D17+D18+D19+D20</f>
        <v>38629.8169666667</v>
      </c>
      <c r="E21" s="11" t="n">
        <f aca="false">E17+E18+E19+E20</f>
        <v>38629.8169666667</v>
      </c>
      <c r="F21" s="11" t="n">
        <f aca="false">F17+F18+F19+F20</f>
        <v>38629.8169666667</v>
      </c>
      <c r="G21" s="11" t="n">
        <f aca="false">G17+G18+G19+G20</f>
        <v>38629.8169666667</v>
      </c>
      <c r="H21" s="11" t="n">
        <f aca="false">H17+H18+H19+H20</f>
        <v>48629.8169666667</v>
      </c>
      <c r="I21" s="11" t="n">
        <f aca="false">I17+I18+I19+I20</f>
        <v>48629.8169666667</v>
      </c>
      <c r="J21" s="11" t="n">
        <f aca="false">J17+J18+J19+J20</f>
        <v>48629.8169666667</v>
      </c>
      <c r="K21" s="11" t="n">
        <f aca="false">K17+K18+K19+K20</f>
        <v>48629.8169666667</v>
      </c>
      <c r="L21" s="11" t="n">
        <f aca="false">L17+L18+L19+L20</f>
        <v>48629.8169666667</v>
      </c>
      <c r="M21" s="11" t="n">
        <f aca="false">M17+M18+M19+M20</f>
        <v>48629.8169666667</v>
      </c>
      <c r="N21" s="11" t="n">
        <f aca="false">SUM(B21:M21)</f>
        <v>523557.8036</v>
      </c>
      <c r="O21" s="12" t="n">
        <f aca="false">SUMIFS(Overhead!$F$5:$F$16,Overhead!$A$5:$A$16,"Expense",Overhead!$E$5:$E$16,"Prior year + %")</f>
        <v>450056.12</v>
      </c>
      <c r="P21" s="13" t="n">
        <f aca="false">N21-O21</f>
        <v>73501.6836000001</v>
      </c>
      <c r="Q21" s="14" t="n">
        <f aca="false">IF(O21=0,"",N21/O21-1)</f>
        <v>0.163316707258641</v>
      </c>
    </row>
    <row r="23" customFormat="false" ht="15" hidden="false" customHeight="false" outlineLevel="0" collapsed="false">
      <c r="A23" s="3" t="s">
        <v>48</v>
      </c>
    </row>
    <row r="24" customFormat="false" ht="15" hidden="false" customHeight="false" outlineLevel="0" collapsed="false">
      <c r="A24" s="2" t="s">
        <v>49</v>
      </c>
      <c r="B24" s="8" t="n">
        <f aca="false">Overhead!$I$8/12</f>
        <v>519.504533333333</v>
      </c>
      <c r="C24" s="8" t="n">
        <f aca="false">Overhead!$I$8/12</f>
        <v>519.504533333333</v>
      </c>
      <c r="D24" s="8" t="n">
        <f aca="false">Overhead!$I$8/12</f>
        <v>519.504533333333</v>
      </c>
      <c r="E24" s="8" t="n">
        <f aca="false">Overhead!$I$8/12</f>
        <v>519.504533333333</v>
      </c>
      <c r="F24" s="8" t="n">
        <f aca="false">Overhead!$I$8/12</f>
        <v>519.504533333333</v>
      </c>
      <c r="G24" s="8" t="n">
        <f aca="false">Overhead!$I$8/12</f>
        <v>519.504533333333</v>
      </c>
      <c r="H24" s="8" t="n">
        <f aca="false">Overhead!$I$8/12</f>
        <v>519.504533333333</v>
      </c>
      <c r="I24" s="8" t="n">
        <f aca="false">Overhead!$I$8/12</f>
        <v>519.504533333333</v>
      </c>
      <c r="J24" s="8" t="n">
        <f aca="false">Overhead!$I$8/12</f>
        <v>519.504533333333</v>
      </c>
      <c r="K24" s="8" t="n">
        <f aca="false">Overhead!$I$8/12</f>
        <v>519.504533333333</v>
      </c>
      <c r="L24" s="8" t="n">
        <f aca="false">Overhead!$I$8/12</f>
        <v>519.504533333333</v>
      </c>
      <c r="M24" s="8" t="n">
        <f aca="false">Overhead!$I$8/12</f>
        <v>519.504533333333</v>
      </c>
      <c r="N24" s="8" t="n">
        <f aca="false">SUM(B24:M24)</f>
        <v>6234.0544</v>
      </c>
      <c r="O24" s="7" t="n">
        <f aca="false">Overhead!F8</f>
        <v>6052.48</v>
      </c>
      <c r="P24" s="8" t="n">
        <f aca="false">N24-O24</f>
        <v>181.574400000001</v>
      </c>
      <c r="Q24" s="9" t="n">
        <f aca="false">IF(O24=0,"",N24/O24-1)</f>
        <v>0.0300000000000003</v>
      </c>
    </row>
    <row r="25" customFormat="false" ht="15" hidden="false" customHeight="false" outlineLevel="0" collapsed="false">
      <c r="A25" s="2" t="s">
        <v>50</v>
      </c>
      <c r="B25" s="8" t="n">
        <f aca="false">Overhead!$I$15/12</f>
        <v>1195.5828</v>
      </c>
      <c r="C25" s="8" t="n">
        <f aca="false">Overhead!$I$15/12</f>
        <v>1195.5828</v>
      </c>
      <c r="D25" s="8" t="n">
        <f aca="false">Overhead!$I$15/12</f>
        <v>1195.5828</v>
      </c>
      <c r="E25" s="8" t="n">
        <f aca="false">Overhead!$I$15/12</f>
        <v>1195.5828</v>
      </c>
      <c r="F25" s="8" t="n">
        <f aca="false">Overhead!$I$15/12</f>
        <v>1195.5828</v>
      </c>
      <c r="G25" s="8" t="n">
        <f aca="false">Overhead!$I$15/12</f>
        <v>1195.5828</v>
      </c>
      <c r="H25" s="8" t="n">
        <f aca="false">Overhead!$I$15/12</f>
        <v>1195.5828</v>
      </c>
      <c r="I25" s="8" t="n">
        <f aca="false">Overhead!$I$15/12</f>
        <v>1195.5828</v>
      </c>
      <c r="J25" s="8" t="n">
        <f aca="false">Overhead!$I$15/12</f>
        <v>1195.5828</v>
      </c>
      <c r="K25" s="8" t="n">
        <f aca="false">Overhead!$I$15/12</f>
        <v>1195.5828</v>
      </c>
      <c r="L25" s="8" t="n">
        <f aca="false">Overhead!$I$15/12</f>
        <v>1195.5828</v>
      </c>
      <c r="M25" s="8" t="n">
        <f aca="false">Overhead!$I$15/12</f>
        <v>1195.5828</v>
      </c>
      <c r="N25" s="8" t="n">
        <f aca="false">SUM(B25:M25)</f>
        <v>14346.9936</v>
      </c>
      <c r="O25" s="7" t="n">
        <f aca="false">Overhead!F15</f>
        <v>13929.12</v>
      </c>
      <c r="P25" s="8" t="n">
        <f aca="false">N25-O25</f>
        <v>417.873600000001</v>
      </c>
      <c r="Q25" s="9" t="n">
        <f aca="false">IF(O25=0,"",N25/O25-1)</f>
        <v>0.03</v>
      </c>
    </row>
    <row r="27" customFormat="false" ht="15" hidden="false" customHeight="false" outlineLevel="0" collapsed="false">
      <c r="A27" s="10" t="s">
        <v>51</v>
      </c>
      <c r="B27" s="11" t="n">
        <f aca="false">B14+B21+B25</f>
        <v>66201.6397666667</v>
      </c>
      <c r="C27" s="11" t="n">
        <f aca="false">C14+C21+C25</f>
        <v>66201.6397666667</v>
      </c>
      <c r="D27" s="11" t="n">
        <f aca="false">D14+D21+D25</f>
        <v>66201.6397666667</v>
      </c>
      <c r="E27" s="11" t="n">
        <f aca="false">E14+E21+E25</f>
        <v>66201.6397666667</v>
      </c>
      <c r="F27" s="11" t="n">
        <f aca="false">F14+F21+F25</f>
        <v>66201.6397666667</v>
      </c>
      <c r="G27" s="11" t="n">
        <f aca="false">G14+G21+G25</f>
        <v>66201.6397666667</v>
      </c>
      <c r="H27" s="11" t="n">
        <f aca="false">H14+H21+H25</f>
        <v>76201.6397666667</v>
      </c>
      <c r="I27" s="11" t="n">
        <f aca="false">I14+I21+I25</f>
        <v>76201.6397666667</v>
      </c>
      <c r="J27" s="11" t="n">
        <f aca="false">J14+J21+J25</f>
        <v>76201.6397666667</v>
      </c>
      <c r="K27" s="11" t="n">
        <f aca="false">K14+K21+K25</f>
        <v>76201.6397666667</v>
      </c>
      <c r="L27" s="11" t="n">
        <f aca="false">L14+L21+L25</f>
        <v>76201.6397666667</v>
      </c>
      <c r="M27" s="11" t="n">
        <f aca="false">M14+M21+M25</f>
        <v>196201.639766667</v>
      </c>
      <c r="N27" s="11" t="n">
        <f aca="false">SUM(B27:M27)</f>
        <v>974419.6772</v>
      </c>
      <c r="O27" s="12" t="n">
        <f aca="false">SUMIFS(Overhead!$F$5:$F$16,Overhead!$A$5:$A$16,"COGS",Overhead!$E$5:$E$16,"&lt;&gt;Exclude")+SUMIFS(Overhead!$F$5:$F$16,Overhead!$A$5:$A$16,"Expense",Overhead!$E$5:$E$16,"&lt;&gt;Exclude")+SUMIFS(Overhead!$F$5:$F$16,Overhead!$A$5:$A$16,"Other Expense",Overhead!$E$5:$E$16,"&lt;&gt;Exclude")</f>
        <v>2556598.95</v>
      </c>
      <c r="P27" s="13" t="n">
        <f aca="false">N27-O27</f>
        <v>-1582179.2728</v>
      </c>
      <c r="Q27" s="14" t="n">
        <f aca="false">IF(O27=0,"",N27/O27-1)</f>
        <v>-0.618860956975673</v>
      </c>
    </row>
    <row r="28" customFormat="false" ht="15" hidden="false" customHeight="false" outlineLevel="0" collapsed="false">
      <c r="A28" s="10" t="s">
        <v>52</v>
      </c>
      <c r="B28" s="11" t="n">
        <f aca="false">B8+B24-B27</f>
        <v>170759.119141667</v>
      </c>
      <c r="C28" s="11" t="n">
        <f aca="false">C8+C24-C27</f>
        <v>159734.119141667</v>
      </c>
      <c r="D28" s="11" t="n">
        <f aca="false">D8+D24-D27</f>
        <v>192809.119141667</v>
      </c>
      <c r="E28" s="11" t="n">
        <f aca="false">E8+E24-E27</f>
        <v>181784.119141667</v>
      </c>
      <c r="F28" s="11" t="n">
        <f aca="false">F8+F24-F27</f>
        <v>170759.119141667</v>
      </c>
      <c r="G28" s="11" t="n">
        <f aca="false">G8+G24-G27</f>
        <v>181784.119141667</v>
      </c>
      <c r="H28" s="11" t="n">
        <f aca="false">H8+H24-H27</f>
        <v>171784.119141667</v>
      </c>
      <c r="I28" s="11" t="n">
        <f aca="false">I8+I24-I27</f>
        <v>171784.119141667</v>
      </c>
      <c r="J28" s="11" t="n">
        <f aca="false">J8+J24-J27</f>
        <v>171784.119141667</v>
      </c>
      <c r="K28" s="11" t="n">
        <f aca="false">K8+K24-K27</f>
        <v>160759.119141667</v>
      </c>
      <c r="L28" s="11" t="n">
        <f aca="false">L8+L24-L27</f>
        <v>171784.119141667</v>
      </c>
      <c r="M28" s="11" t="n">
        <f aca="false">M8+M24-M27</f>
        <v>62809.1191416667</v>
      </c>
      <c r="N28" s="11" t="n">
        <f aca="false">SUM(B28:M28)</f>
        <v>1968334.4297</v>
      </c>
      <c r="O28" s="12" t="n">
        <f aca="false">SUMIFS(Overhead!$F$5:$F$16,Overhead!$A$5:$A$16,"Revenue",Overhead!$E$5:$E$16,"&lt;&gt;Exclude")+SUMIFS(Overhead!$F$5:$F$16,Overhead!$A$5:$A$16,"Other Income",Overhead!$E$5:$E$16,"&lt;&gt;Exclude")-SUMIFS(Overhead!$F$5:$F$16,Overhead!$A$5:$A$16,"COGS",Overhead!$E$5:$E$16,"&lt;&gt;Exclude")-SUMIFS(Overhead!$F$5:$F$16,Overhead!$A$5:$A$16,"Expense",Overhead!$E$5:$E$16,"&lt;&gt;Exclude")-SUMIFS(Overhead!$F$5:$F$16,Overhead!$A$5:$A$16,"Other Expense",Overhead!$E$5:$E$16,"&lt;&gt;Exclude")</f>
        <v>2531517.49</v>
      </c>
      <c r="P28" s="13" t="n">
        <f aca="false">N28-O28</f>
        <v>-563183.0603</v>
      </c>
      <c r="Q28" s="14" t="n">
        <f aca="false">IF(O28=0,"",N28/O28-1)</f>
        <v>-0.222468563825723</v>
      </c>
    </row>
    <row r="29" customFormat="false" ht="15" hidden="false" customHeight="false" outlineLevel="0" collapsed="false">
      <c r="A29" s="2" t="s">
        <v>53</v>
      </c>
      <c r="B29" s="9" t="n">
        <f aca="false">IF(B8=0,0,B28/B8)</f>
        <v>0.722205266559953</v>
      </c>
      <c r="C29" s="9" t="n">
        <f aca="false">IF(C8=0,0,C28/C8)</f>
        <v>0.708618460476833</v>
      </c>
      <c r="D29" s="9" t="n">
        <f aca="false">IF(D8=0,0,D28/D8)</f>
        <v>0.745901905299873</v>
      </c>
      <c r="E29" s="9" t="n">
        <f aca="false">IF(E8=0,0,E28/E8)</f>
        <v>0.734581446673527</v>
      </c>
      <c r="F29" s="9" t="n">
        <f aca="false">IF(F8=0,0,F28/F8)</f>
        <v>0.722205266559953</v>
      </c>
      <c r="G29" s="9" t="n">
        <f aca="false">IF(G8=0,0,G28/G8)</f>
        <v>0.734581446673527</v>
      </c>
      <c r="H29" s="9" t="n">
        <f aca="false">IF(H8=0,0,H28/H8)</f>
        <v>0.694171896590604</v>
      </c>
      <c r="I29" s="9" t="n">
        <f aca="false">IF(I8=0,0,I28/I8)</f>
        <v>0.694171896590604</v>
      </c>
      <c r="J29" s="9" t="n">
        <f aca="false">IF(J8=0,0,J28/J8)</f>
        <v>0.694171896590604</v>
      </c>
      <c r="K29" s="9" t="n">
        <f aca="false">IF(K8=0,0,K28/K8)</f>
        <v>0.679911462856223</v>
      </c>
      <c r="L29" s="9" t="n">
        <f aca="false">IF(L8=0,0,L28/L8)</f>
        <v>0.694171896590604</v>
      </c>
      <c r="M29" s="9" t="n">
        <f aca="false">IF(M8=0,0,M28/M8)</f>
        <v>0.242983536497323</v>
      </c>
      <c r="N29" s="9" t="n">
        <f aca="false">IF(N8=0,0,N28/N8)</f>
        <v>0.670294905026874</v>
      </c>
    </row>
    <row r="31" customFormat="false" ht="15" hidden="false" customHeight="false" outlineLevel="0" collapsed="false">
      <c r="A31" s="3" t="s">
        <v>54</v>
      </c>
    </row>
    <row r="32" customFormat="false" ht="15" hidden="false" customHeight="false" outlineLevel="0" collapsed="false">
      <c r="A32" s="2" t="s">
        <v>55</v>
      </c>
      <c r="B32" s="7" t="n">
        <f aca="false">Drivers!K5</f>
        <v>100000</v>
      </c>
      <c r="C32" s="7" t="n">
        <f aca="false">Drivers!L5</f>
        <v>100000</v>
      </c>
      <c r="D32" s="7" t="n">
        <f aca="false">Drivers!M5</f>
        <v>100000</v>
      </c>
      <c r="E32" s="7" t="n">
        <f aca="false">Drivers!N5</f>
        <v>100000</v>
      </c>
      <c r="F32" s="7" t="n">
        <f aca="false">Drivers!O5</f>
        <v>100000</v>
      </c>
      <c r="G32" s="7" t="n">
        <f aca="false">Drivers!P5</f>
        <v>100000</v>
      </c>
      <c r="H32" s="7" t="n">
        <f aca="false">Drivers!Q5</f>
        <v>100000</v>
      </c>
      <c r="I32" s="7" t="n">
        <f aca="false">Drivers!R5</f>
        <v>100000</v>
      </c>
      <c r="J32" s="7" t="n">
        <f aca="false">Drivers!S5</f>
        <v>100000</v>
      </c>
      <c r="K32" s="7" t="n">
        <f aca="false">Drivers!T5</f>
        <v>100000</v>
      </c>
      <c r="L32" s="7" t="n">
        <f aca="false">Drivers!U5</f>
        <v>100000</v>
      </c>
      <c r="M32" s="7" t="n">
        <f aca="false">Drivers!V5</f>
        <v>100000</v>
      </c>
      <c r="N32" s="8" t="n">
        <f aca="false">SUM(B32:M32)</f>
        <v>1200000</v>
      </c>
    </row>
    <row r="33" customFormat="false" ht="15" hidden="false" customHeight="false" outlineLevel="0" collapsed="false">
      <c r="A33" s="2" t="s">
        <v>56</v>
      </c>
      <c r="B33" s="7" t="n">
        <f aca="false">Drivers!K6</f>
        <v>30000</v>
      </c>
      <c r="C33" s="7" t="n">
        <f aca="false">Drivers!L6</f>
        <v>30000</v>
      </c>
      <c r="D33" s="7" t="n">
        <f aca="false">Drivers!M6</f>
        <v>30000</v>
      </c>
      <c r="E33" s="7" t="n">
        <f aca="false">Drivers!N6</f>
        <v>30000</v>
      </c>
      <c r="F33" s="7" t="n">
        <f aca="false">Drivers!O6</f>
        <v>30000</v>
      </c>
      <c r="G33" s="7" t="n">
        <f aca="false">Drivers!P6</f>
        <v>30000</v>
      </c>
      <c r="H33" s="7" t="n">
        <f aca="false">Drivers!Q6</f>
        <v>30000</v>
      </c>
      <c r="I33" s="7" t="n">
        <f aca="false">Drivers!R6</f>
        <v>30000</v>
      </c>
      <c r="J33" s="7" t="n">
        <f aca="false">Drivers!S6</f>
        <v>30000</v>
      </c>
      <c r="K33" s="7" t="n">
        <f aca="false">Drivers!T6</f>
        <v>30000</v>
      </c>
      <c r="L33" s="7" t="n">
        <f aca="false">Drivers!U6</f>
        <v>30000</v>
      </c>
      <c r="M33" s="7" t="n">
        <f aca="false">Drivers!V6</f>
        <v>30000</v>
      </c>
      <c r="N33" s="8" t="n">
        <f aca="false">SUM(B33:M33)</f>
        <v>360000</v>
      </c>
    </row>
    <row r="34" customFormat="false" ht="15" hidden="false" customHeight="false" outlineLevel="0" collapsed="false">
      <c r="A34" s="10" t="s">
        <v>57</v>
      </c>
      <c r="B34" s="11" t="n">
        <f aca="false">B32+B33</f>
        <v>130000</v>
      </c>
      <c r="C34" s="11" t="n">
        <f aca="false">C32+C33</f>
        <v>130000</v>
      </c>
      <c r="D34" s="11" t="n">
        <f aca="false">D32+D33</f>
        <v>130000</v>
      </c>
      <c r="E34" s="11" t="n">
        <f aca="false">E32+E33</f>
        <v>130000</v>
      </c>
      <c r="F34" s="11" t="n">
        <f aca="false">F32+F33</f>
        <v>130000</v>
      </c>
      <c r="G34" s="11" t="n">
        <f aca="false">G32+G33</f>
        <v>130000</v>
      </c>
      <c r="H34" s="11" t="n">
        <f aca="false">H32+H33</f>
        <v>130000</v>
      </c>
      <c r="I34" s="11" t="n">
        <f aca="false">I32+I33</f>
        <v>130000</v>
      </c>
      <c r="J34" s="11" t="n">
        <f aca="false">J32+J33</f>
        <v>130000</v>
      </c>
      <c r="K34" s="11" t="n">
        <f aca="false">K32+K33</f>
        <v>130000</v>
      </c>
      <c r="L34" s="11" t="n">
        <f aca="false">L32+L33</f>
        <v>130000</v>
      </c>
      <c r="M34" s="11" t="n">
        <f aca="false">M32+M33</f>
        <v>130000</v>
      </c>
      <c r="N34" s="11" t="n">
        <f aca="false">SUM(B34:M34)</f>
        <v>1560000</v>
      </c>
      <c r="O34" s="15"/>
      <c r="P34" s="15"/>
      <c r="Q34" s="15"/>
    </row>
    <row r="35" customFormat="false" ht="15" hidden="false" customHeight="false" outlineLevel="0" collapsed="false">
      <c r="A35" s="10" t="s">
        <v>58</v>
      </c>
      <c r="B35" s="11" t="n">
        <f aca="false">B28-B34</f>
        <v>40759.1191416666</v>
      </c>
      <c r="C35" s="11" t="n">
        <f aca="false">C28-C34</f>
        <v>29734.1191416667</v>
      </c>
      <c r="D35" s="11" t="n">
        <f aca="false">D28-D34</f>
        <v>62809.1191416666</v>
      </c>
      <c r="E35" s="11" t="n">
        <f aca="false">E28-E34</f>
        <v>51784.1191416667</v>
      </c>
      <c r="F35" s="11" t="n">
        <f aca="false">F28-F34</f>
        <v>40759.1191416666</v>
      </c>
      <c r="G35" s="11" t="n">
        <f aca="false">G28-G34</f>
        <v>51784.1191416667</v>
      </c>
      <c r="H35" s="11" t="n">
        <f aca="false">H28-H34</f>
        <v>41784.1191416667</v>
      </c>
      <c r="I35" s="11" t="n">
        <f aca="false">I28-I34</f>
        <v>41784.1191416667</v>
      </c>
      <c r="J35" s="11" t="n">
        <f aca="false">J28-J34</f>
        <v>41784.1191416667</v>
      </c>
      <c r="K35" s="11" t="n">
        <f aca="false">K28-K34</f>
        <v>30759.1191416666</v>
      </c>
      <c r="L35" s="11" t="n">
        <f aca="false">L28-L34</f>
        <v>41784.1191416667</v>
      </c>
      <c r="M35" s="11" t="n">
        <f aca="false">M28-M34</f>
        <v>-67190.8808583333</v>
      </c>
      <c r="N35" s="11" t="n">
        <f aca="false">SUM(B35:M35)</f>
        <v>408334.4297</v>
      </c>
      <c r="O35" s="15"/>
      <c r="P35" s="15"/>
      <c r="Q35" s="15"/>
    </row>
    <row r="37" customFormat="false" ht="15" hidden="false" customHeight="false" outlineLevel="0" collapsed="false">
      <c r="A37" s="16" t="s">
        <v>59</v>
      </c>
      <c r="N37" s="8" t="n">
        <f aca="false">SUM(Drivers!I5:I9)-(SUMIFS(Drivers!I$5:I$9,Drivers!$C$5:$C$9,"Owner draws")+SUMIFS(Drivers!I$5:I$9,Drivers!$C$5:$C$9,"Personnel")+SUMIFS(Drivers!I$5:I$9,Drivers!$C$5:$C$9,"Operating expense")+SUMIFS(Drivers!I$5:I$9,Drivers!$C$5:$C$9,"Other expense")+SUMIFS(Drivers!I$5:I$9,Drivers!$C$5:$C$9,"Revenue")+SUMIFS(Drivers!I$5:I$9,Drivers!$C$5:$C$9,"Other income"))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5" t="s">
        <v>61</v>
      </c>
      <c r="B3" s="5" t="s">
        <v>62</v>
      </c>
      <c r="C3" s="5" t="s">
        <v>63</v>
      </c>
    </row>
    <row r="4" customFormat="false" ht="15" hidden="false" customHeight="false" outlineLevel="0" collapsed="false">
      <c r="A4" s="2" t="s">
        <v>64</v>
      </c>
      <c r="B4" s="17" t="s">
        <v>65</v>
      </c>
      <c r="C4" s="16" t="s">
        <v>66</v>
      </c>
    </row>
    <row r="5" customFormat="false" ht="15" hidden="false" customHeight="false" outlineLevel="0" collapsed="false">
      <c r="A5" s="2" t="s">
        <v>67</v>
      </c>
      <c r="B5" s="18" t="n">
        <v>0.05</v>
      </c>
      <c r="C5" s="16" t="s">
        <v>68</v>
      </c>
    </row>
    <row r="6" customFormat="false" ht="15" hidden="false" customHeight="false" outlineLevel="0" collapsed="false">
      <c r="A6" s="2" t="s">
        <v>69</v>
      </c>
      <c r="B6" s="19" t="n">
        <v>1</v>
      </c>
      <c r="C6" s="16" t="s">
        <v>70</v>
      </c>
    </row>
    <row r="7" customFormat="false" ht="15" hidden="false" customHeight="false" outlineLevel="0" collapsed="false">
      <c r="A7" s="2" t="s">
        <v>71</v>
      </c>
      <c r="B7" s="18" t="n">
        <v>0.03</v>
      </c>
      <c r="C7" s="16" t="s">
        <v>72</v>
      </c>
    </row>
    <row r="8" customFormat="false" ht="15" hidden="false" customHeight="false" outlineLevel="0" collapsed="false">
      <c r="A8" s="2" t="s">
        <v>73</v>
      </c>
      <c r="B8" s="19" t="n">
        <v>1</v>
      </c>
      <c r="C8" s="16" t="s">
        <v>74</v>
      </c>
    </row>
    <row r="9" customFormat="false" ht="15" hidden="false" customHeight="false" outlineLevel="0" collapsed="false">
      <c r="A9" s="2" t="s">
        <v>75</v>
      </c>
      <c r="B9" s="18" t="n">
        <v>0.164</v>
      </c>
      <c r="C9" s="16" t="s">
        <v>76</v>
      </c>
    </row>
    <row r="10" customFormat="false" ht="15" hidden="false" customHeight="false" outlineLevel="0" collapsed="false">
      <c r="A10" s="2" t="s">
        <v>77</v>
      </c>
      <c r="B10" s="18" t="n">
        <v>0.9</v>
      </c>
      <c r="C10" s="16" t="s">
        <v>78</v>
      </c>
    </row>
    <row r="11" customFormat="false" ht="15" hidden="false" customHeight="false" outlineLevel="0" collapsed="false">
      <c r="A11" s="2" t="s">
        <v>79</v>
      </c>
      <c r="B11" s="18" t="n">
        <v>0.03</v>
      </c>
      <c r="C11" s="16" t="s">
        <v>80</v>
      </c>
    </row>
    <row r="14" customFormat="false" ht="15" hidden="false" customHeight="false" outlineLevel="0" collapsed="false">
      <c r="A14" s="3" t="s">
        <v>81</v>
      </c>
    </row>
    <row r="15" customFormat="false" ht="15" hidden="false" customHeight="false" outlineLevel="0" collapsed="false">
      <c r="A15" s="16" t="s">
        <v>82</v>
      </c>
    </row>
    <row r="16" customFormat="false" ht="15" hidden="false" customHeight="false" outlineLevel="0" collapsed="false">
      <c r="A16" s="2" t="s">
        <v>17</v>
      </c>
      <c r="B16" s="20" t="n">
        <v>0.0804597701149425</v>
      </c>
    </row>
    <row r="17" customFormat="false" ht="15" hidden="false" customHeight="false" outlineLevel="0" collapsed="false">
      <c r="A17" s="2" t="s">
        <v>18</v>
      </c>
      <c r="B17" s="20" t="n">
        <v>0.0766283524904215</v>
      </c>
    </row>
    <row r="18" customFormat="false" ht="15" hidden="false" customHeight="false" outlineLevel="0" collapsed="false">
      <c r="A18" s="2" t="s">
        <v>19</v>
      </c>
      <c r="B18" s="20" t="n">
        <v>0.0881226053639847</v>
      </c>
    </row>
    <row r="19" customFormat="false" ht="15" hidden="false" customHeight="false" outlineLevel="0" collapsed="false">
      <c r="A19" s="2" t="s">
        <v>20</v>
      </c>
      <c r="B19" s="20" t="n">
        <v>0.0842911877394636</v>
      </c>
    </row>
    <row r="20" customFormat="false" ht="15" hidden="false" customHeight="false" outlineLevel="0" collapsed="false">
      <c r="A20" s="2" t="s">
        <v>21</v>
      </c>
      <c r="B20" s="20" t="n">
        <v>0.0804597701149425</v>
      </c>
    </row>
    <row r="21" customFormat="false" ht="15" hidden="false" customHeight="false" outlineLevel="0" collapsed="false">
      <c r="A21" s="2" t="s">
        <v>22</v>
      </c>
      <c r="B21" s="20" t="n">
        <v>0.0842911877394636</v>
      </c>
    </row>
    <row r="22" customFormat="false" ht="15" hidden="false" customHeight="false" outlineLevel="0" collapsed="false">
      <c r="A22" s="2" t="s">
        <v>23</v>
      </c>
      <c r="B22" s="20" t="n">
        <v>0.0842911877394636</v>
      </c>
    </row>
    <row r="23" customFormat="false" ht="15" hidden="false" customHeight="false" outlineLevel="0" collapsed="false">
      <c r="A23" s="2" t="s">
        <v>24</v>
      </c>
      <c r="B23" s="20" t="n">
        <v>0.0842911877394636</v>
      </c>
    </row>
    <row r="24" customFormat="false" ht="15" hidden="false" customHeight="false" outlineLevel="0" collapsed="false">
      <c r="A24" s="2" t="s">
        <v>25</v>
      </c>
      <c r="B24" s="20" t="n">
        <v>0.0842911877394636</v>
      </c>
    </row>
    <row r="25" customFormat="false" ht="15" hidden="false" customHeight="false" outlineLevel="0" collapsed="false">
      <c r="A25" s="2" t="s">
        <v>26</v>
      </c>
      <c r="B25" s="20" t="n">
        <v>0.0804597701149425</v>
      </c>
    </row>
    <row r="26" customFormat="false" ht="15" hidden="false" customHeight="false" outlineLevel="0" collapsed="false">
      <c r="A26" s="2" t="s">
        <v>27</v>
      </c>
      <c r="B26" s="20" t="n">
        <v>0.0842911877394636</v>
      </c>
    </row>
    <row r="27" customFormat="false" ht="15" hidden="false" customHeight="false" outlineLevel="0" collapsed="false">
      <c r="A27" s="2" t="s">
        <v>28</v>
      </c>
      <c r="B27" s="20" t="n">
        <v>0.0881226053639847</v>
      </c>
    </row>
    <row r="28" customFormat="false" ht="15" hidden="false" customHeight="false" outlineLevel="0" collapsed="false">
      <c r="A28" s="3" t="s">
        <v>29</v>
      </c>
      <c r="B28" s="21" t="n">
        <f aca="false">SUM(B16:B27)</f>
        <v>1</v>
      </c>
      <c r="C28" s="2" t="str">
        <f aca="false">IF(ABS(B28-1)&gt;0.0001,"Check: weights should total 100%","OK")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2" min="10" style="0" width="15"/>
    <col collapsed="false" customWidth="true" hidden="false" outlineLevel="0" max="14" min="13" style="0" width="12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6" t="s">
        <v>84</v>
      </c>
    </row>
    <row r="4" customFormat="false" ht="39.55" hidden="false" customHeight="false" outlineLevel="0" collapsed="false">
      <c r="A4" s="5" t="s">
        <v>85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  <c r="H4" s="5" t="s">
        <v>92</v>
      </c>
      <c r="I4" s="5" t="s">
        <v>93</v>
      </c>
      <c r="J4" s="5" t="s">
        <v>94</v>
      </c>
      <c r="K4" s="5" t="s">
        <v>95</v>
      </c>
      <c r="L4" s="5" t="s">
        <v>96</v>
      </c>
      <c r="M4" s="5" t="s">
        <v>97</v>
      </c>
      <c r="N4" s="5" t="s">
        <v>98</v>
      </c>
      <c r="O4" s="5" t="s">
        <v>63</v>
      </c>
    </row>
    <row r="5" customFormat="false" ht="15" hidden="false" customHeight="false" outlineLevel="0" collapsed="false">
      <c r="A5" s="22" t="s">
        <v>99</v>
      </c>
      <c r="B5" s="22" t="s">
        <v>100</v>
      </c>
      <c r="C5" s="22" t="s">
        <v>101</v>
      </c>
      <c r="D5" s="23" t="n">
        <v>1</v>
      </c>
      <c r="E5" s="23" t="n">
        <v>12</v>
      </c>
      <c r="F5" s="24" t="n">
        <v>150000</v>
      </c>
      <c r="G5" s="25" t="n">
        <v>1900</v>
      </c>
      <c r="H5" s="26" t="n">
        <v>350</v>
      </c>
      <c r="I5" s="20" t="n">
        <v>0.9</v>
      </c>
      <c r="J5" s="7" t="n">
        <f aca="false">SUM('Revenue by Person'!C5:N5)</f>
        <v>628425</v>
      </c>
      <c r="K5" s="7" t="n">
        <f aca="false">SUM('Salary by Person'!C5:N5)*(1+Assumptions!$B$9)</f>
        <v>179838</v>
      </c>
      <c r="L5" s="8" t="n">
        <f aca="false">J5-K5</f>
        <v>448587</v>
      </c>
      <c r="M5" s="27" t="n">
        <v>1800</v>
      </c>
      <c r="N5" s="28" t="n">
        <v>350</v>
      </c>
      <c r="O5" s="2"/>
    </row>
    <row r="6" customFormat="false" ht="15" hidden="false" customHeight="false" outlineLevel="0" collapsed="false">
      <c r="A6" s="22" t="s">
        <v>99</v>
      </c>
      <c r="B6" s="22" t="s">
        <v>102</v>
      </c>
      <c r="C6" s="22" t="s">
        <v>103</v>
      </c>
      <c r="D6" s="23" t="n">
        <v>1</v>
      </c>
      <c r="E6" s="23" t="n">
        <v>12</v>
      </c>
      <c r="F6" s="24" t="n">
        <v>114000</v>
      </c>
      <c r="G6" s="25" t="n">
        <v>1600</v>
      </c>
      <c r="H6" s="26" t="n">
        <v>250</v>
      </c>
      <c r="I6" s="20" t="n">
        <v>0.9</v>
      </c>
      <c r="J6" s="7" t="n">
        <f aca="false">SUM('Revenue by Person'!C6:N6)</f>
        <v>378000</v>
      </c>
      <c r="K6" s="7" t="n">
        <f aca="false">SUM('Salary by Person'!C6:N6)*(1+Assumptions!$B$9)</f>
        <v>136676.88</v>
      </c>
      <c r="L6" s="8" t="n">
        <f aca="false">J6-K6</f>
        <v>241323.12</v>
      </c>
      <c r="M6" s="27" t="n">
        <v>1500</v>
      </c>
      <c r="N6" s="28" t="n">
        <v>250</v>
      </c>
      <c r="O6" s="2"/>
    </row>
    <row r="7" customFormat="false" ht="15" hidden="false" customHeight="false" outlineLevel="0" collapsed="false">
      <c r="A7" s="22" t="s">
        <v>99</v>
      </c>
      <c r="B7" s="22" t="s">
        <v>104</v>
      </c>
      <c r="C7" s="22" t="s">
        <v>105</v>
      </c>
      <c r="D7" s="23" t="n">
        <v>1</v>
      </c>
      <c r="E7" s="23" t="n">
        <v>12</v>
      </c>
      <c r="F7" s="24" t="n">
        <v>0</v>
      </c>
      <c r="G7" s="25" t="n">
        <v>1500</v>
      </c>
      <c r="H7" s="26" t="n">
        <v>600</v>
      </c>
      <c r="I7" s="20" t="n">
        <v>0.9</v>
      </c>
      <c r="J7" s="7" t="n">
        <f aca="false">SUM('Revenue by Person'!C7:N7)</f>
        <v>850500</v>
      </c>
      <c r="K7" s="7" t="n">
        <f aca="false">SUM('Salary by Person'!C7:N7)*(1+Assumptions!$B$9)</f>
        <v>0</v>
      </c>
      <c r="L7" s="8" t="n">
        <f aca="false">J7-K7</f>
        <v>850500</v>
      </c>
      <c r="M7" s="27" t="n">
        <v>1500</v>
      </c>
      <c r="N7" s="28" t="n">
        <v>600</v>
      </c>
      <c r="O7" s="2" t="s">
        <v>106</v>
      </c>
    </row>
    <row r="8" customFormat="false" ht="15" hidden="false" customHeight="false" outlineLevel="0" collapsed="false">
      <c r="A8" s="22" t="s">
        <v>99</v>
      </c>
      <c r="B8" s="22" t="s">
        <v>107</v>
      </c>
      <c r="C8" s="22" t="s">
        <v>105</v>
      </c>
      <c r="D8" s="23" t="n">
        <v>1</v>
      </c>
      <c r="E8" s="23" t="n">
        <v>12</v>
      </c>
      <c r="F8" s="24" t="n">
        <v>0</v>
      </c>
      <c r="G8" s="25" t="n">
        <v>1200</v>
      </c>
      <c r="H8" s="26" t="n">
        <v>900</v>
      </c>
      <c r="I8" s="20" t="n">
        <v>0.9</v>
      </c>
      <c r="J8" s="7" t="n">
        <f aca="false">SUM('Revenue by Person'!C8:N8)</f>
        <v>1020600</v>
      </c>
      <c r="K8" s="7" t="n">
        <f aca="false">SUM('Salary by Person'!C8:N8)*(1+Assumptions!$B$9)</f>
        <v>0</v>
      </c>
      <c r="L8" s="8" t="n">
        <f aca="false">J8-K8</f>
        <v>1020600</v>
      </c>
      <c r="M8" s="27" t="n">
        <v>1200</v>
      </c>
      <c r="N8" s="28" t="n">
        <v>900</v>
      </c>
      <c r="O8" s="2" t="s">
        <v>106</v>
      </c>
    </row>
    <row r="9" customFormat="false" ht="15" hidden="false" customHeight="false" outlineLevel="0" collapsed="false">
      <c r="A9" s="22" t="s">
        <v>108</v>
      </c>
      <c r="B9" s="22" t="s">
        <v>109</v>
      </c>
      <c r="C9" s="22" t="s">
        <v>110</v>
      </c>
      <c r="D9" s="23" t="n">
        <v>1</v>
      </c>
      <c r="E9" s="23" t="n">
        <v>12</v>
      </c>
      <c r="F9" s="24" t="n">
        <v>60000</v>
      </c>
      <c r="G9" s="25" t="n">
        <v>0</v>
      </c>
      <c r="H9" s="26" t="n">
        <v>0</v>
      </c>
      <c r="I9" s="20" t="n">
        <v>0.9</v>
      </c>
      <c r="J9" s="7" t="n">
        <f aca="false">SUM('Revenue by Person'!C9:N9)</f>
        <v>0</v>
      </c>
      <c r="K9" s="7" t="n">
        <f aca="false">SUM('Salary by Person'!C9:N9)*(1+Assumptions!$B$9)</f>
        <v>0</v>
      </c>
      <c r="L9" s="8" t="n">
        <f aca="false">J9-K9</f>
        <v>0</v>
      </c>
      <c r="M9" s="27"/>
      <c r="N9" s="28"/>
      <c r="O9" s="2"/>
    </row>
    <row r="11" customFormat="false" ht="15" hidden="false" customHeight="false" outlineLevel="0" collapsed="false">
      <c r="B11" s="3" t="s">
        <v>29</v>
      </c>
      <c r="F11" s="29" t="n">
        <f aca="false">SUM(F5:F10)</f>
        <v>324000</v>
      </c>
      <c r="G11" s="30" t="n">
        <f aca="false">SUM(G5:G10)</f>
        <v>6200</v>
      </c>
      <c r="J11" s="29" t="n">
        <f aca="false">SUM(J5:J10)</f>
        <v>2877525</v>
      </c>
      <c r="K11" s="29" t="n">
        <f aca="false">SUM(K5:K10)</f>
        <v>316514.88</v>
      </c>
      <c r="L11" s="29" t="n">
        <f aca="false">SUM(L5:L10)</f>
        <v>2561010.12</v>
      </c>
    </row>
  </sheetData>
  <dataValidations count="1">
    <dataValidation allowBlank="true" errorStyle="stop" operator="between" showDropDown="false" showErrorMessage="false" showInputMessage="false" sqref="A5:A1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14" min="3" style="0" width="12"/>
  </cols>
  <sheetData>
    <row r="1" customFormat="false" ht="17.35" hidden="false" customHeight="false" outlineLevel="0" collapsed="false">
      <c r="A1" s="1" t="s">
        <v>111</v>
      </c>
    </row>
    <row r="3" customFormat="false" ht="15" hidden="false" customHeight="false" outlineLevel="0" collapsed="false"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</row>
    <row r="4" customFormat="false" ht="15" hidden="false" customHeight="false" outlineLevel="0" collapsed="false">
      <c r="A4" s="31" t="s">
        <v>86</v>
      </c>
      <c r="B4" s="31" t="s">
        <v>29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27</v>
      </c>
      <c r="N4" s="6" t="s">
        <v>28</v>
      </c>
    </row>
    <row r="5" customFormat="false" ht="15" hidden="false" customHeight="false" outlineLevel="0" collapsed="false">
      <c r="A5" s="32" t="str">
        <f aca="false">IF(People!B5="","",People!B5)</f>
        <v>Ann Associate</v>
      </c>
      <c r="B5" s="8" t="n">
        <f aca="false">SUM(C5:N5)</f>
        <v>628425</v>
      </c>
      <c r="C5" s="8" t="n">
        <f aca="false">IF(AND(People!$A5="Y",C$3&gt;=People!$D5,C$3&lt;=People!$E5),People!$G5*INDEX(Assumptions!$B$16:$B$27,C$3)/Assumptions!$B$28*People!$H5*IF(C$3&gt;=Assumptions!$B$6,1+Assumptions!$B$5,1)*People!$I5,0)</f>
        <v>50562.9310344828</v>
      </c>
      <c r="D5" s="8" t="n">
        <f aca="false">IF(AND(People!$A5="Y",D$3&gt;=People!$D5,D$3&lt;=People!$E5),People!$G5*INDEX(Assumptions!$B$16:$B$27,D$3)/Assumptions!$B$28*People!$H5*IF(D$3&gt;=Assumptions!$B$6,1+Assumptions!$B$5,1)*People!$I5,0)</f>
        <v>48155.1724137931</v>
      </c>
      <c r="E5" s="8" t="n">
        <f aca="false">IF(AND(People!$A5="Y",E$3&gt;=People!$D5,E$3&lt;=People!$E5),People!$G5*INDEX(Assumptions!$B$16:$B$27,E$3)/Assumptions!$B$28*People!$H5*IF(E$3&gt;=Assumptions!$B$6,1+Assumptions!$B$5,1)*People!$I5,0)</f>
        <v>55378.4482758621</v>
      </c>
      <c r="F5" s="8" t="n">
        <f aca="false">IF(AND(People!$A5="Y",F$3&gt;=People!$D5,F$3&lt;=People!$E5),People!$G5*INDEX(Assumptions!$B$16:$B$27,F$3)/Assumptions!$B$28*People!$H5*IF(F$3&gt;=Assumptions!$B$6,1+Assumptions!$B$5,1)*People!$I5,0)</f>
        <v>52970.6896551724</v>
      </c>
      <c r="G5" s="8" t="n">
        <f aca="false">IF(AND(People!$A5="Y",G$3&gt;=People!$D5,G$3&lt;=People!$E5),People!$G5*INDEX(Assumptions!$B$16:$B$27,G$3)/Assumptions!$B$28*People!$H5*IF(G$3&gt;=Assumptions!$B$6,1+Assumptions!$B$5,1)*People!$I5,0)</f>
        <v>50562.9310344828</v>
      </c>
      <c r="H5" s="8" t="n">
        <f aca="false">IF(AND(People!$A5="Y",H$3&gt;=People!$D5,H$3&lt;=People!$E5),People!$G5*INDEX(Assumptions!$B$16:$B$27,H$3)/Assumptions!$B$28*People!$H5*IF(H$3&gt;=Assumptions!$B$6,1+Assumptions!$B$5,1)*People!$I5,0)</f>
        <v>52970.6896551724</v>
      </c>
      <c r="I5" s="8" t="n">
        <f aca="false">IF(AND(People!$A5="Y",I$3&gt;=People!$D5,I$3&lt;=People!$E5),People!$G5*INDEX(Assumptions!$B$16:$B$27,I$3)/Assumptions!$B$28*People!$H5*IF(I$3&gt;=Assumptions!$B$6,1+Assumptions!$B$5,1)*People!$I5,0)</f>
        <v>52970.6896551724</v>
      </c>
      <c r="J5" s="8" t="n">
        <f aca="false">IF(AND(People!$A5="Y",J$3&gt;=People!$D5,J$3&lt;=People!$E5),People!$G5*INDEX(Assumptions!$B$16:$B$27,J$3)/Assumptions!$B$28*People!$H5*IF(J$3&gt;=Assumptions!$B$6,1+Assumptions!$B$5,1)*People!$I5,0)</f>
        <v>52970.6896551724</v>
      </c>
      <c r="K5" s="8" t="n">
        <f aca="false">IF(AND(People!$A5="Y",K$3&gt;=People!$D5,K$3&lt;=People!$E5),People!$G5*INDEX(Assumptions!$B$16:$B$27,K$3)/Assumptions!$B$28*People!$H5*IF(K$3&gt;=Assumptions!$B$6,1+Assumptions!$B$5,1)*People!$I5,0)</f>
        <v>52970.6896551724</v>
      </c>
      <c r="L5" s="8" t="n">
        <f aca="false">IF(AND(People!$A5="Y",L$3&gt;=People!$D5,L$3&lt;=People!$E5),People!$G5*INDEX(Assumptions!$B$16:$B$27,L$3)/Assumptions!$B$28*People!$H5*IF(L$3&gt;=Assumptions!$B$6,1+Assumptions!$B$5,1)*People!$I5,0)</f>
        <v>50562.9310344828</v>
      </c>
      <c r="M5" s="8" t="n">
        <f aca="false">IF(AND(People!$A5="Y",M$3&gt;=People!$D5,M$3&lt;=People!$E5),People!$G5*INDEX(Assumptions!$B$16:$B$27,M$3)/Assumptions!$B$28*People!$H5*IF(M$3&gt;=Assumptions!$B$6,1+Assumptions!$B$5,1)*People!$I5,0)</f>
        <v>52970.6896551724</v>
      </c>
      <c r="N5" s="8" t="n">
        <f aca="false">IF(AND(People!$A5="Y",N$3&gt;=People!$D5,N$3&lt;=People!$E5),People!$G5*INDEX(Assumptions!$B$16:$B$27,N$3)/Assumptions!$B$28*People!$H5*IF(N$3&gt;=Assumptions!$B$6,1+Assumptions!$B$5,1)*People!$I5,0)</f>
        <v>55378.4482758621</v>
      </c>
    </row>
    <row r="6" customFormat="false" ht="15" hidden="false" customHeight="false" outlineLevel="0" collapsed="false">
      <c r="A6" s="32" t="str">
        <f aca="false">IF(People!B6="","",People!B6)</f>
        <v>Paul Planner</v>
      </c>
      <c r="B6" s="8" t="n">
        <f aca="false">SUM(C6:N6)</f>
        <v>378000</v>
      </c>
      <c r="C6" s="8" t="n">
        <f aca="false">IF(AND(People!$A6="Y",C$3&gt;=People!$D6,C$3&lt;=People!$E6),People!$G6*INDEX(Assumptions!$B$16:$B$27,C$3)/Assumptions!$B$28*People!$H6*IF(C$3&gt;=Assumptions!$B$6,1+Assumptions!$B$5,1)*People!$I6,0)</f>
        <v>30413.7931034483</v>
      </c>
      <c r="D6" s="8" t="n">
        <f aca="false">IF(AND(People!$A6="Y",D$3&gt;=People!$D6,D$3&lt;=People!$E6),People!$G6*INDEX(Assumptions!$B$16:$B$27,D$3)/Assumptions!$B$28*People!$H6*IF(D$3&gt;=Assumptions!$B$6,1+Assumptions!$B$5,1)*People!$I6,0)</f>
        <v>28965.5172413793</v>
      </c>
      <c r="E6" s="8" t="n">
        <f aca="false">IF(AND(People!$A6="Y",E$3&gt;=People!$D6,E$3&lt;=People!$E6),People!$G6*INDEX(Assumptions!$B$16:$B$27,E$3)/Assumptions!$B$28*People!$H6*IF(E$3&gt;=Assumptions!$B$6,1+Assumptions!$B$5,1)*People!$I6,0)</f>
        <v>33310.3448275862</v>
      </c>
      <c r="F6" s="8" t="n">
        <f aca="false">IF(AND(People!$A6="Y",F$3&gt;=People!$D6,F$3&lt;=People!$E6),People!$G6*INDEX(Assumptions!$B$16:$B$27,F$3)/Assumptions!$B$28*People!$H6*IF(F$3&gt;=Assumptions!$B$6,1+Assumptions!$B$5,1)*People!$I6,0)</f>
        <v>31862.0689655172</v>
      </c>
      <c r="G6" s="8" t="n">
        <f aca="false">IF(AND(People!$A6="Y",G$3&gt;=People!$D6,G$3&lt;=People!$E6),People!$G6*INDEX(Assumptions!$B$16:$B$27,G$3)/Assumptions!$B$28*People!$H6*IF(G$3&gt;=Assumptions!$B$6,1+Assumptions!$B$5,1)*People!$I6,0)</f>
        <v>30413.7931034483</v>
      </c>
      <c r="H6" s="8" t="n">
        <f aca="false">IF(AND(People!$A6="Y",H$3&gt;=People!$D6,H$3&lt;=People!$E6),People!$G6*INDEX(Assumptions!$B$16:$B$27,H$3)/Assumptions!$B$28*People!$H6*IF(H$3&gt;=Assumptions!$B$6,1+Assumptions!$B$5,1)*People!$I6,0)</f>
        <v>31862.0689655172</v>
      </c>
      <c r="I6" s="8" t="n">
        <f aca="false">IF(AND(People!$A6="Y",I$3&gt;=People!$D6,I$3&lt;=People!$E6),People!$G6*INDEX(Assumptions!$B$16:$B$27,I$3)/Assumptions!$B$28*People!$H6*IF(I$3&gt;=Assumptions!$B$6,1+Assumptions!$B$5,1)*People!$I6,0)</f>
        <v>31862.0689655172</v>
      </c>
      <c r="J6" s="8" t="n">
        <f aca="false">IF(AND(People!$A6="Y",J$3&gt;=People!$D6,J$3&lt;=People!$E6),People!$G6*INDEX(Assumptions!$B$16:$B$27,J$3)/Assumptions!$B$28*People!$H6*IF(J$3&gt;=Assumptions!$B$6,1+Assumptions!$B$5,1)*People!$I6,0)</f>
        <v>31862.0689655172</v>
      </c>
      <c r="K6" s="8" t="n">
        <f aca="false">IF(AND(People!$A6="Y",K$3&gt;=People!$D6,K$3&lt;=People!$E6),People!$G6*INDEX(Assumptions!$B$16:$B$27,K$3)/Assumptions!$B$28*People!$H6*IF(K$3&gt;=Assumptions!$B$6,1+Assumptions!$B$5,1)*People!$I6,0)</f>
        <v>31862.0689655172</v>
      </c>
      <c r="L6" s="8" t="n">
        <f aca="false">IF(AND(People!$A6="Y",L$3&gt;=People!$D6,L$3&lt;=People!$E6),People!$G6*INDEX(Assumptions!$B$16:$B$27,L$3)/Assumptions!$B$28*People!$H6*IF(L$3&gt;=Assumptions!$B$6,1+Assumptions!$B$5,1)*People!$I6,0)</f>
        <v>30413.7931034483</v>
      </c>
      <c r="M6" s="8" t="n">
        <f aca="false">IF(AND(People!$A6="Y",M$3&gt;=People!$D6,M$3&lt;=People!$E6),People!$G6*INDEX(Assumptions!$B$16:$B$27,M$3)/Assumptions!$B$28*People!$H6*IF(M$3&gt;=Assumptions!$B$6,1+Assumptions!$B$5,1)*People!$I6,0)</f>
        <v>31862.0689655172</v>
      </c>
      <c r="N6" s="8" t="n">
        <f aca="false">IF(AND(People!$A6="Y",N$3&gt;=People!$D6,N$3&lt;=People!$E6),People!$G6*INDEX(Assumptions!$B$16:$B$27,N$3)/Assumptions!$B$28*People!$H6*IF(N$3&gt;=Assumptions!$B$6,1+Assumptions!$B$5,1)*People!$I6,0)</f>
        <v>33310.3448275862</v>
      </c>
    </row>
    <row r="7" customFormat="false" ht="15" hidden="false" customHeight="false" outlineLevel="0" collapsed="false">
      <c r="A7" s="32" t="str">
        <f aca="false">IF(People!B7="","",People!B7)</f>
        <v>Kim Lee</v>
      </c>
      <c r="B7" s="8" t="n">
        <f aca="false">SUM(C7:N7)</f>
        <v>850500</v>
      </c>
      <c r="C7" s="8" t="n">
        <f aca="false">IF(AND(People!$A7="Y",C$3&gt;=People!$D7,C$3&lt;=People!$E7),People!$G7*INDEX(Assumptions!$B$16:$B$27,C$3)/Assumptions!$B$28*People!$H7*IF(C$3&gt;=Assumptions!$B$6,1+Assumptions!$B$5,1)*People!$I7,0)</f>
        <v>68431.0344827586</v>
      </c>
      <c r="D7" s="8" t="n">
        <f aca="false">IF(AND(People!$A7="Y",D$3&gt;=People!$D7,D$3&lt;=People!$E7),People!$G7*INDEX(Assumptions!$B$16:$B$27,D$3)/Assumptions!$B$28*People!$H7*IF(D$3&gt;=Assumptions!$B$6,1+Assumptions!$B$5,1)*People!$I7,0)</f>
        <v>65172.4137931035</v>
      </c>
      <c r="E7" s="8" t="n">
        <f aca="false">IF(AND(People!$A7="Y",E$3&gt;=People!$D7,E$3&lt;=People!$E7),People!$G7*INDEX(Assumptions!$B$16:$B$27,E$3)/Assumptions!$B$28*People!$H7*IF(E$3&gt;=Assumptions!$B$6,1+Assumptions!$B$5,1)*People!$I7,0)</f>
        <v>74948.275862069</v>
      </c>
      <c r="F7" s="8" t="n">
        <f aca="false">IF(AND(People!$A7="Y",F$3&gt;=People!$D7,F$3&lt;=People!$E7),People!$G7*INDEX(Assumptions!$B$16:$B$27,F$3)/Assumptions!$B$28*People!$H7*IF(F$3&gt;=Assumptions!$B$6,1+Assumptions!$B$5,1)*People!$I7,0)</f>
        <v>71689.6551724138</v>
      </c>
      <c r="G7" s="8" t="n">
        <f aca="false">IF(AND(People!$A7="Y",G$3&gt;=People!$D7,G$3&lt;=People!$E7),People!$G7*INDEX(Assumptions!$B$16:$B$27,G$3)/Assumptions!$B$28*People!$H7*IF(G$3&gt;=Assumptions!$B$6,1+Assumptions!$B$5,1)*People!$I7,0)</f>
        <v>68431.0344827586</v>
      </c>
      <c r="H7" s="8" t="n">
        <f aca="false">IF(AND(People!$A7="Y",H$3&gt;=People!$D7,H$3&lt;=People!$E7),People!$G7*INDEX(Assumptions!$B$16:$B$27,H$3)/Assumptions!$B$28*People!$H7*IF(H$3&gt;=Assumptions!$B$6,1+Assumptions!$B$5,1)*People!$I7,0)</f>
        <v>71689.6551724138</v>
      </c>
      <c r="I7" s="8" t="n">
        <f aca="false">IF(AND(People!$A7="Y",I$3&gt;=People!$D7,I$3&lt;=People!$E7),People!$G7*INDEX(Assumptions!$B$16:$B$27,I$3)/Assumptions!$B$28*People!$H7*IF(I$3&gt;=Assumptions!$B$6,1+Assumptions!$B$5,1)*People!$I7,0)</f>
        <v>71689.6551724138</v>
      </c>
      <c r="J7" s="8" t="n">
        <f aca="false">IF(AND(People!$A7="Y",J$3&gt;=People!$D7,J$3&lt;=People!$E7),People!$G7*INDEX(Assumptions!$B$16:$B$27,J$3)/Assumptions!$B$28*People!$H7*IF(J$3&gt;=Assumptions!$B$6,1+Assumptions!$B$5,1)*People!$I7,0)</f>
        <v>71689.6551724138</v>
      </c>
      <c r="K7" s="8" t="n">
        <f aca="false">IF(AND(People!$A7="Y",K$3&gt;=People!$D7,K$3&lt;=People!$E7),People!$G7*INDEX(Assumptions!$B$16:$B$27,K$3)/Assumptions!$B$28*People!$H7*IF(K$3&gt;=Assumptions!$B$6,1+Assumptions!$B$5,1)*People!$I7,0)</f>
        <v>71689.6551724138</v>
      </c>
      <c r="L7" s="8" t="n">
        <f aca="false">IF(AND(People!$A7="Y",L$3&gt;=People!$D7,L$3&lt;=People!$E7),People!$G7*INDEX(Assumptions!$B$16:$B$27,L$3)/Assumptions!$B$28*People!$H7*IF(L$3&gt;=Assumptions!$B$6,1+Assumptions!$B$5,1)*People!$I7,0)</f>
        <v>68431.0344827586</v>
      </c>
      <c r="M7" s="8" t="n">
        <f aca="false">IF(AND(People!$A7="Y",M$3&gt;=People!$D7,M$3&lt;=People!$E7),People!$G7*INDEX(Assumptions!$B$16:$B$27,M$3)/Assumptions!$B$28*People!$H7*IF(M$3&gt;=Assumptions!$B$6,1+Assumptions!$B$5,1)*People!$I7,0)</f>
        <v>71689.6551724138</v>
      </c>
      <c r="N7" s="8" t="n">
        <f aca="false">IF(AND(People!$A7="Y",N$3&gt;=People!$D7,N$3&lt;=People!$E7),People!$G7*INDEX(Assumptions!$B$16:$B$27,N$3)/Assumptions!$B$28*People!$H7*IF(N$3&gt;=Assumptions!$B$6,1+Assumptions!$B$5,1)*People!$I7,0)</f>
        <v>74948.275862069</v>
      </c>
    </row>
    <row r="8" customFormat="false" ht="15" hidden="false" customHeight="false" outlineLevel="0" collapsed="false">
      <c r="A8" s="32" t="str">
        <f aca="false">IF(People!B8="","",People!B8)</f>
        <v>Pat Owner Jr.</v>
      </c>
      <c r="B8" s="8" t="n">
        <f aca="false">SUM(C8:N8)</f>
        <v>1020600</v>
      </c>
      <c r="C8" s="8" t="n">
        <f aca="false">IF(AND(People!$A8="Y",C$3&gt;=People!$D8,C$3&lt;=People!$E8),People!$G8*INDEX(Assumptions!$B$16:$B$27,C$3)/Assumptions!$B$28*People!$H8*IF(C$3&gt;=Assumptions!$B$6,1+Assumptions!$B$5,1)*People!$I8,0)</f>
        <v>82117.2413793104</v>
      </c>
      <c r="D8" s="8" t="n">
        <f aca="false">IF(AND(People!$A8="Y",D$3&gt;=People!$D8,D$3&lt;=People!$E8),People!$G8*INDEX(Assumptions!$B$16:$B$27,D$3)/Assumptions!$B$28*People!$H8*IF(D$3&gt;=Assumptions!$B$6,1+Assumptions!$B$5,1)*People!$I8,0)</f>
        <v>78206.8965517241</v>
      </c>
      <c r="E8" s="8" t="n">
        <f aca="false">IF(AND(People!$A8="Y",E$3&gt;=People!$D8,E$3&lt;=People!$E8),People!$G8*INDEX(Assumptions!$B$16:$B$27,E$3)/Assumptions!$B$28*People!$H8*IF(E$3&gt;=Assumptions!$B$6,1+Assumptions!$B$5,1)*People!$I8,0)</f>
        <v>89937.9310344828</v>
      </c>
      <c r="F8" s="8" t="n">
        <f aca="false">IF(AND(People!$A8="Y",F$3&gt;=People!$D8,F$3&lt;=People!$E8),People!$G8*INDEX(Assumptions!$B$16:$B$27,F$3)/Assumptions!$B$28*People!$H8*IF(F$3&gt;=Assumptions!$B$6,1+Assumptions!$B$5,1)*People!$I8,0)</f>
        <v>86027.5862068966</v>
      </c>
      <c r="G8" s="8" t="n">
        <f aca="false">IF(AND(People!$A8="Y",G$3&gt;=People!$D8,G$3&lt;=People!$E8),People!$G8*INDEX(Assumptions!$B$16:$B$27,G$3)/Assumptions!$B$28*People!$H8*IF(G$3&gt;=Assumptions!$B$6,1+Assumptions!$B$5,1)*People!$I8,0)</f>
        <v>82117.2413793104</v>
      </c>
      <c r="H8" s="8" t="n">
        <f aca="false">IF(AND(People!$A8="Y",H$3&gt;=People!$D8,H$3&lt;=People!$E8),People!$G8*INDEX(Assumptions!$B$16:$B$27,H$3)/Assumptions!$B$28*People!$H8*IF(H$3&gt;=Assumptions!$B$6,1+Assumptions!$B$5,1)*People!$I8,0)</f>
        <v>86027.5862068966</v>
      </c>
      <c r="I8" s="8" t="n">
        <f aca="false">IF(AND(People!$A8="Y",I$3&gt;=People!$D8,I$3&lt;=People!$E8),People!$G8*INDEX(Assumptions!$B$16:$B$27,I$3)/Assumptions!$B$28*People!$H8*IF(I$3&gt;=Assumptions!$B$6,1+Assumptions!$B$5,1)*People!$I8,0)</f>
        <v>86027.5862068966</v>
      </c>
      <c r="J8" s="8" t="n">
        <f aca="false">IF(AND(People!$A8="Y",J$3&gt;=People!$D8,J$3&lt;=People!$E8),People!$G8*INDEX(Assumptions!$B$16:$B$27,J$3)/Assumptions!$B$28*People!$H8*IF(J$3&gt;=Assumptions!$B$6,1+Assumptions!$B$5,1)*People!$I8,0)</f>
        <v>86027.5862068966</v>
      </c>
      <c r="K8" s="8" t="n">
        <f aca="false">IF(AND(People!$A8="Y",K$3&gt;=People!$D8,K$3&lt;=People!$E8),People!$G8*INDEX(Assumptions!$B$16:$B$27,K$3)/Assumptions!$B$28*People!$H8*IF(K$3&gt;=Assumptions!$B$6,1+Assumptions!$B$5,1)*People!$I8,0)</f>
        <v>86027.5862068966</v>
      </c>
      <c r="L8" s="8" t="n">
        <f aca="false">IF(AND(People!$A8="Y",L$3&gt;=People!$D8,L$3&lt;=People!$E8),People!$G8*INDEX(Assumptions!$B$16:$B$27,L$3)/Assumptions!$B$28*People!$H8*IF(L$3&gt;=Assumptions!$B$6,1+Assumptions!$B$5,1)*People!$I8,0)</f>
        <v>82117.2413793104</v>
      </c>
      <c r="M8" s="8" t="n">
        <f aca="false">IF(AND(People!$A8="Y",M$3&gt;=People!$D8,M$3&lt;=People!$E8),People!$G8*INDEX(Assumptions!$B$16:$B$27,M$3)/Assumptions!$B$28*People!$H8*IF(M$3&gt;=Assumptions!$B$6,1+Assumptions!$B$5,1)*People!$I8,0)</f>
        <v>86027.5862068966</v>
      </c>
      <c r="N8" s="8" t="n">
        <f aca="false">IF(AND(People!$A8="Y",N$3&gt;=People!$D8,N$3&lt;=People!$E8),People!$G8*INDEX(Assumptions!$B$16:$B$27,N$3)/Assumptions!$B$28*People!$H8*IF(N$3&gt;=Assumptions!$B$6,1+Assumptions!$B$5,1)*People!$I8,0)</f>
        <v>89937.9310344828</v>
      </c>
    </row>
    <row r="9" customFormat="false" ht="15" hidden="false" customHeight="false" outlineLevel="0" collapsed="false">
      <c r="A9" s="32" t="str">
        <f aca="false">IF(People!B9="","",People!B9)</f>
        <v>Sam Staff</v>
      </c>
      <c r="B9" s="8" t="n">
        <f aca="false">SUM(C9:N9)</f>
        <v>0</v>
      </c>
      <c r="C9" s="8" t="n">
        <f aca="false">IF(AND(People!$A9="Y",C$3&gt;=People!$D9,C$3&lt;=People!$E9),People!$G9*INDEX(Assumptions!$B$16:$B$27,C$3)/Assumptions!$B$28*People!$H9*IF(C$3&gt;=Assumptions!$B$6,1+Assumptions!$B$5,1)*People!$I9,0)</f>
        <v>0</v>
      </c>
      <c r="D9" s="8" t="n">
        <f aca="false">IF(AND(People!$A9="Y",D$3&gt;=People!$D9,D$3&lt;=People!$E9),People!$G9*INDEX(Assumptions!$B$16:$B$27,D$3)/Assumptions!$B$28*People!$H9*IF(D$3&gt;=Assumptions!$B$6,1+Assumptions!$B$5,1)*People!$I9,0)</f>
        <v>0</v>
      </c>
      <c r="E9" s="8" t="n">
        <f aca="false">IF(AND(People!$A9="Y",E$3&gt;=People!$D9,E$3&lt;=People!$E9),People!$G9*INDEX(Assumptions!$B$16:$B$27,E$3)/Assumptions!$B$28*People!$H9*IF(E$3&gt;=Assumptions!$B$6,1+Assumptions!$B$5,1)*People!$I9,0)</f>
        <v>0</v>
      </c>
      <c r="F9" s="8" t="n">
        <f aca="false">IF(AND(People!$A9="Y",F$3&gt;=People!$D9,F$3&lt;=People!$E9),People!$G9*INDEX(Assumptions!$B$16:$B$27,F$3)/Assumptions!$B$28*People!$H9*IF(F$3&gt;=Assumptions!$B$6,1+Assumptions!$B$5,1)*People!$I9,0)</f>
        <v>0</v>
      </c>
      <c r="G9" s="8" t="n">
        <f aca="false">IF(AND(People!$A9="Y",G$3&gt;=People!$D9,G$3&lt;=People!$E9),People!$G9*INDEX(Assumptions!$B$16:$B$27,G$3)/Assumptions!$B$28*People!$H9*IF(G$3&gt;=Assumptions!$B$6,1+Assumptions!$B$5,1)*People!$I9,0)</f>
        <v>0</v>
      </c>
      <c r="H9" s="8" t="n">
        <f aca="false">IF(AND(People!$A9="Y",H$3&gt;=People!$D9,H$3&lt;=People!$E9),People!$G9*INDEX(Assumptions!$B$16:$B$27,H$3)/Assumptions!$B$28*People!$H9*IF(H$3&gt;=Assumptions!$B$6,1+Assumptions!$B$5,1)*People!$I9,0)</f>
        <v>0</v>
      </c>
      <c r="I9" s="8" t="n">
        <f aca="false">IF(AND(People!$A9="Y",I$3&gt;=People!$D9,I$3&lt;=People!$E9),People!$G9*INDEX(Assumptions!$B$16:$B$27,I$3)/Assumptions!$B$28*People!$H9*IF(I$3&gt;=Assumptions!$B$6,1+Assumptions!$B$5,1)*People!$I9,0)</f>
        <v>0</v>
      </c>
      <c r="J9" s="8" t="n">
        <f aca="false">IF(AND(People!$A9="Y",J$3&gt;=People!$D9,J$3&lt;=People!$E9),People!$G9*INDEX(Assumptions!$B$16:$B$27,J$3)/Assumptions!$B$28*People!$H9*IF(J$3&gt;=Assumptions!$B$6,1+Assumptions!$B$5,1)*People!$I9,0)</f>
        <v>0</v>
      </c>
      <c r="K9" s="8" t="n">
        <f aca="false">IF(AND(People!$A9="Y",K$3&gt;=People!$D9,K$3&lt;=People!$E9),People!$G9*INDEX(Assumptions!$B$16:$B$27,K$3)/Assumptions!$B$28*People!$H9*IF(K$3&gt;=Assumptions!$B$6,1+Assumptions!$B$5,1)*People!$I9,0)</f>
        <v>0</v>
      </c>
      <c r="L9" s="8" t="n">
        <f aca="false">IF(AND(People!$A9="Y",L$3&gt;=People!$D9,L$3&lt;=People!$E9),People!$G9*INDEX(Assumptions!$B$16:$B$27,L$3)/Assumptions!$B$28*People!$H9*IF(L$3&gt;=Assumptions!$B$6,1+Assumptions!$B$5,1)*People!$I9,0)</f>
        <v>0</v>
      </c>
      <c r="M9" s="8" t="n">
        <f aca="false">IF(AND(People!$A9="Y",M$3&gt;=People!$D9,M$3&lt;=People!$E9),People!$G9*INDEX(Assumptions!$B$16:$B$27,M$3)/Assumptions!$B$28*People!$H9*IF(M$3&gt;=Assumptions!$B$6,1+Assumptions!$B$5,1)*People!$I9,0)</f>
        <v>0</v>
      </c>
      <c r="N9" s="8" t="n">
        <f aca="false">IF(AND(People!$A9="Y",N$3&gt;=People!$D9,N$3&lt;=People!$E9),People!$G9*INDEX(Assumptions!$B$16:$B$27,N$3)/Assumptions!$B$28*People!$H9*IF(N$3&gt;=Assumptions!$B$6,1+Assumptions!$B$5,1)*People!$I9,0)</f>
        <v>0</v>
      </c>
    </row>
    <row r="10" customFormat="false" ht="15" hidden="false" customHeight="false" outlineLevel="0" collapsed="false">
      <c r="A10" s="32" t="str">
        <f aca="false">IF(People!B10="","",People!B10)</f>
        <v/>
      </c>
      <c r="B10" s="8" t="n">
        <f aca="false">SUM(C10:N10)</f>
        <v>0</v>
      </c>
      <c r="C10" s="8" t="n">
        <f aca="false">IF(AND(People!$A10="Y",C$3&gt;=People!$D10,C$3&lt;=People!$E10),People!$G10*INDEX(Assumptions!$B$16:$B$27,C$3)/Assumptions!$B$28*People!$H10*IF(C$3&gt;=Assumptions!$B$6,1+Assumptions!$B$5,1)*People!$I10,0)</f>
        <v>0</v>
      </c>
      <c r="D10" s="8" t="n">
        <f aca="false">IF(AND(People!$A10="Y",D$3&gt;=People!$D10,D$3&lt;=People!$E10),People!$G10*INDEX(Assumptions!$B$16:$B$27,D$3)/Assumptions!$B$28*People!$H10*IF(D$3&gt;=Assumptions!$B$6,1+Assumptions!$B$5,1)*People!$I10,0)</f>
        <v>0</v>
      </c>
      <c r="E10" s="8" t="n">
        <f aca="false">IF(AND(People!$A10="Y",E$3&gt;=People!$D10,E$3&lt;=People!$E10),People!$G10*INDEX(Assumptions!$B$16:$B$27,E$3)/Assumptions!$B$28*People!$H10*IF(E$3&gt;=Assumptions!$B$6,1+Assumptions!$B$5,1)*People!$I10,0)</f>
        <v>0</v>
      </c>
      <c r="F10" s="8" t="n">
        <f aca="false">IF(AND(People!$A10="Y",F$3&gt;=People!$D10,F$3&lt;=People!$E10),People!$G10*INDEX(Assumptions!$B$16:$B$27,F$3)/Assumptions!$B$28*People!$H10*IF(F$3&gt;=Assumptions!$B$6,1+Assumptions!$B$5,1)*People!$I10,0)</f>
        <v>0</v>
      </c>
      <c r="G10" s="8" t="n">
        <f aca="false">IF(AND(People!$A10="Y",G$3&gt;=People!$D10,G$3&lt;=People!$E10),People!$G10*INDEX(Assumptions!$B$16:$B$27,G$3)/Assumptions!$B$28*People!$H10*IF(G$3&gt;=Assumptions!$B$6,1+Assumptions!$B$5,1)*People!$I10,0)</f>
        <v>0</v>
      </c>
      <c r="H10" s="8" t="n">
        <f aca="false">IF(AND(People!$A10="Y",H$3&gt;=People!$D10,H$3&lt;=People!$E10),People!$G10*INDEX(Assumptions!$B$16:$B$27,H$3)/Assumptions!$B$28*People!$H10*IF(H$3&gt;=Assumptions!$B$6,1+Assumptions!$B$5,1)*People!$I10,0)</f>
        <v>0</v>
      </c>
      <c r="I10" s="8" t="n">
        <f aca="false">IF(AND(People!$A10="Y",I$3&gt;=People!$D10,I$3&lt;=People!$E10),People!$G10*INDEX(Assumptions!$B$16:$B$27,I$3)/Assumptions!$B$28*People!$H10*IF(I$3&gt;=Assumptions!$B$6,1+Assumptions!$B$5,1)*People!$I10,0)</f>
        <v>0</v>
      </c>
      <c r="J10" s="8" t="n">
        <f aca="false">IF(AND(People!$A10="Y",J$3&gt;=People!$D10,J$3&lt;=People!$E10),People!$G10*INDEX(Assumptions!$B$16:$B$27,J$3)/Assumptions!$B$28*People!$H10*IF(J$3&gt;=Assumptions!$B$6,1+Assumptions!$B$5,1)*People!$I10,0)</f>
        <v>0</v>
      </c>
      <c r="K10" s="8" t="n">
        <f aca="false">IF(AND(People!$A10="Y",K$3&gt;=People!$D10,K$3&lt;=People!$E10),People!$G10*INDEX(Assumptions!$B$16:$B$27,K$3)/Assumptions!$B$28*People!$H10*IF(K$3&gt;=Assumptions!$B$6,1+Assumptions!$B$5,1)*People!$I10,0)</f>
        <v>0</v>
      </c>
      <c r="L10" s="8" t="n">
        <f aca="false">IF(AND(People!$A10="Y",L$3&gt;=People!$D10,L$3&lt;=People!$E10),People!$G10*INDEX(Assumptions!$B$16:$B$27,L$3)/Assumptions!$B$28*People!$H10*IF(L$3&gt;=Assumptions!$B$6,1+Assumptions!$B$5,1)*People!$I10,0)</f>
        <v>0</v>
      </c>
      <c r="M10" s="8" t="n">
        <f aca="false">IF(AND(People!$A10="Y",M$3&gt;=People!$D10,M$3&lt;=People!$E10),People!$G10*INDEX(Assumptions!$B$16:$B$27,M$3)/Assumptions!$B$28*People!$H10*IF(M$3&gt;=Assumptions!$B$6,1+Assumptions!$B$5,1)*People!$I10,0)</f>
        <v>0</v>
      </c>
      <c r="N10" s="8" t="n">
        <f aca="false">IF(AND(People!$A10="Y",N$3&gt;=People!$D10,N$3&lt;=People!$E10),People!$G10*INDEX(Assumptions!$B$16:$B$27,N$3)/Assumptions!$B$28*People!$H10*IF(N$3&gt;=Assumptions!$B$6,1+Assumptions!$B$5,1)*People!$I10,0)</f>
        <v>0</v>
      </c>
    </row>
    <row r="11" customFormat="false" ht="15" hidden="false" customHeight="false" outlineLevel="0" collapsed="false">
      <c r="A11" s="3" t="s">
        <v>29</v>
      </c>
      <c r="B11" s="29" t="n">
        <f aca="false">SUM(B5:B10)</f>
        <v>2877525</v>
      </c>
      <c r="C11" s="29" t="n">
        <f aca="false">SUM(C5:C10)</f>
        <v>231525</v>
      </c>
      <c r="D11" s="29" t="n">
        <f aca="false">SUM(D5:D10)</f>
        <v>220500</v>
      </c>
      <c r="E11" s="29" t="n">
        <f aca="false">SUM(E5:E10)</f>
        <v>253575</v>
      </c>
      <c r="F11" s="29" t="n">
        <f aca="false">SUM(F5:F10)</f>
        <v>242550</v>
      </c>
      <c r="G11" s="29" t="n">
        <f aca="false">SUM(G5:G10)</f>
        <v>231525</v>
      </c>
      <c r="H11" s="29" t="n">
        <f aca="false">SUM(H5:H10)</f>
        <v>242550</v>
      </c>
      <c r="I11" s="29" t="n">
        <f aca="false">SUM(I5:I10)</f>
        <v>242550</v>
      </c>
      <c r="J11" s="29" t="n">
        <f aca="false">SUM(J5:J10)</f>
        <v>242550</v>
      </c>
      <c r="K11" s="29" t="n">
        <f aca="false">SUM(K5:K10)</f>
        <v>242550</v>
      </c>
      <c r="L11" s="29" t="n">
        <f aca="false">SUM(L5:L10)</f>
        <v>231525</v>
      </c>
      <c r="M11" s="29" t="n">
        <f aca="false">SUM(M5:M10)</f>
        <v>242550</v>
      </c>
      <c r="N11" s="29" t="n">
        <f aca="false">SUM(N5:N10)</f>
        <v>253575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14" min="3" style="0" width="12"/>
  </cols>
  <sheetData>
    <row r="1" customFormat="false" ht="17.35" hidden="false" customHeight="false" outlineLevel="0" collapsed="false">
      <c r="A1" s="1" t="s">
        <v>112</v>
      </c>
    </row>
    <row r="3" customFormat="false" ht="15" hidden="false" customHeight="false" outlineLevel="0" collapsed="false"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</row>
    <row r="4" customFormat="false" ht="15" hidden="false" customHeight="false" outlineLevel="0" collapsed="false">
      <c r="A4" s="31" t="s">
        <v>86</v>
      </c>
      <c r="B4" s="31" t="s">
        <v>29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27</v>
      </c>
      <c r="N4" s="6" t="s">
        <v>28</v>
      </c>
    </row>
    <row r="5" customFormat="false" ht="15" hidden="false" customHeight="false" outlineLevel="0" collapsed="false">
      <c r="A5" s="32" t="str">
        <f aca="false">IF(People!B5="","",People!B5)</f>
        <v>Ann Associate</v>
      </c>
      <c r="B5" s="8" t="n">
        <f aca="false">SUM(C5:N5)</f>
        <v>154500</v>
      </c>
      <c r="C5" s="8" t="n">
        <f aca="false">IF(AND(People!$A5="Y",C$3&gt;=People!$D5,C$3&lt;=People!$E5),People!$F5/12*IF(C$3&gt;=Assumptions!$B$8,1+Assumptions!$B$7,1),0)</f>
        <v>12875</v>
      </c>
      <c r="D5" s="8" t="n">
        <f aca="false">IF(AND(People!$A5="Y",D$3&gt;=People!$D5,D$3&lt;=People!$E5),People!$F5/12*IF(D$3&gt;=Assumptions!$B$8,1+Assumptions!$B$7,1),0)</f>
        <v>12875</v>
      </c>
      <c r="E5" s="8" t="n">
        <f aca="false">IF(AND(People!$A5="Y",E$3&gt;=People!$D5,E$3&lt;=People!$E5),People!$F5/12*IF(E$3&gt;=Assumptions!$B$8,1+Assumptions!$B$7,1),0)</f>
        <v>12875</v>
      </c>
      <c r="F5" s="8" t="n">
        <f aca="false">IF(AND(People!$A5="Y",F$3&gt;=People!$D5,F$3&lt;=People!$E5),People!$F5/12*IF(F$3&gt;=Assumptions!$B$8,1+Assumptions!$B$7,1),0)</f>
        <v>12875</v>
      </c>
      <c r="G5" s="8" t="n">
        <f aca="false">IF(AND(People!$A5="Y",G$3&gt;=People!$D5,G$3&lt;=People!$E5),People!$F5/12*IF(G$3&gt;=Assumptions!$B$8,1+Assumptions!$B$7,1),0)</f>
        <v>12875</v>
      </c>
      <c r="H5" s="8" t="n">
        <f aca="false">IF(AND(People!$A5="Y",H$3&gt;=People!$D5,H$3&lt;=People!$E5),People!$F5/12*IF(H$3&gt;=Assumptions!$B$8,1+Assumptions!$B$7,1),0)</f>
        <v>12875</v>
      </c>
      <c r="I5" s="8" t="n">
        <f aca="false">IF(AND(People!$A5="Y",I$3&gt;=People!$D5,I$3&lt;=People!$E5),People!$F5/12*IF(I$3&gt;=Assumptions!$B$8,1+Assumptions!$B$7,1),0)</f>
        <v>12875</v>
      </c>
      <c r="J5" s="8" t="n">
        <f aca="false">IF(AND(People!$A5="Y",J$3&gt;=People!$D5,J$3&lt;=People!$E5),People!$F5/12*IF(J$3&gt;=Assumptions!$B$8,1+Assumptions!$B$7,1),0)</f>
        <v>12875</v>
      </c>
      <c r="K5" s="8" t="n">
        <f aca="false">IF(AND(People!$A5="Y",K$3&gt;=People!$D5,K$3&lt;=People!$E5),People!$F5/12*IF(K$3&gt;=Assumptions!$B$8,1+Assumptions!$B$7,1),0)</f>
        <v>12875</v>
      </c>
      <c r="L5" s="8" t="n">
        <f aca="false">IF(AND(People!$A5="Y",L$3&gt;=People!$D5,L$3&lt;=People!$E5),People!$F5/12*IF(L$3&gt;=Assumptions!$B$8,1+Assumptions!$B$7,1),0)</f>
        <v>12875</v>
      </c>
      <c r="M5" s="8" t="n">
        <f aca="false">IF(AND(People!$A5="Y",M$3&gt;=People!$D5,M$3&lt;=People!$E5),People!$F5/12*IF(M$3&gt;=Assumptions!$B$8,1+Assumptions!$B$7,1),0)</f>
        <v>12875</v>
      </c>
      <c r="N5" s="8" t="n">
        <f aca="false">IF(AND(People!$A5="Y",N$3&gt;=People!$D5,N$3&lt;=People!$E5),People!$F5/12*IF(N$3&gt;=Assumptions!$B$8,1+Assumptions!$B$7,1),0)</f>
        <v>12875</v>
      </c>
    </row>
    <row r="6" customFormat="false" ht="15" hidden="false" customHeight="false" outlineLevel="0" collapsed="false">
      <c r="A6" s="32" t="str">
        <f aca="false">IF(People!B6="","",People!B6)</f>
        <v>Paul Planner</v>
      </c>
      <c r="B6" s="8" t="n">
        <f aca="false">SUM(C6:N6)</f>
        <v>117420</v>
      </c>
      <c r="C6" s="8" t="n">
        <f aca="false">IF(AND(People!$A6="Y",C$3&gt;=People!$D6,C$3&lt;=People!$E6),People!$F6/12*IF(C$3&gt;=Assumptions!$B$8,1+Assumptions!$B$7,1),0)</f>
        <v>9785</v>
      </c>
      <c r="D6" s="8" t="n">
        <f aca="false">IF(AND(People!$A6="Y",D$3&gt;=People!$D6,D$3&lt;=People!$E6),People!$F6/12*IF(D$3&gt;=Assumptions!$B$8,1+Assumptions!$B$7,1),0)</f>
        <v>9785</v>
      </c>
      <c r="E6" s="8" t="n">
        <f aca="false">IF(AND(People!$A6="Y",E$3&gt;=People!$D6,E$3&lt;=People!$E6),People!$F6/12*IF(E$3&gt;=Assumptions!$B$8,1+Assumptions!$B$7,1),0)</f>
        <v>9785</v>
      </c>
      <c r="F6" s="8" t="n">
        <f aca="false">IF(AND(People!$A6="Y",F$3&gt;=People!$D6,F$3&lt;=People!$E6),People!$F6/12*IF(F$3&gt;=Assumptions!$B$8,1+Assumptions!$B$7,1),0)</f>
        <v>9785</v>
      </c>
      <c r="G6" s="8" t="n">
        <f aca="false">IF(AND(People!$A6="Y",G$3&gt;=People!$D6,G$3&lt;=People!$E6),People!$F6/12*IF(G$3&gt;=Assumptions!$B$8,1+Assumptions!$B$7,1),0)</f>
        <v>9785</v>
      </c>
      <c r="H6" s="8" t="n">
        <f aca="false">IF(AND(People!$A6="Y",H$3&gt;=People!$D6,H$3&lt;=People!$E6),People!$F6/12*IF(H$3&gt;=Assumptions!$B$8,1+Assumptions!$B$7,1),0)</f>
        <v>9785</v>
      </c>
      <c r="I6" s="8" t="n">
        <f aca="false">IF(AND(People!$A6="Y",I$3&gt;=People!$D6,I$3&lt;=People!$E6),People!$F6/12*IF(I$3&gt;=Assumptions!$B$8,1+Assumptions!$B$7,1),0)</f>
        <v>9785</v>
      </c>
      <c r="J6" s="8" t="n">
        <f aca="false">IF(AND(People!$A6="Y",J$3&gt;=People!$D6,J$3&lt;=People!$E6),People!$F6/12*IF(J$3&gt;=Assumptions!$B$8,1+Assumptions!$B$7,1),0)</f>
        <v>9785</v>
      </c>
      <c r="K6" s="8" t="n">
        <f aca="false">IF(AND(People!$A6="Y",K$3&gt;=People!$D6,K$3&lt;=People!$E6),People!$F6/12*IF(K$3&gt;=Assumptions!$B$8,1+Assumptions!$B$7,1),0)</f>
        <v>9785</v>
      </c>
      <c r="L6" s="8" t="n">
        <f aca="false">IF(AND(People!$A6="Y",L$3&gt;=People!$D6,L$3&lt;=People!$E6),People!$F6/12*IF(L$3&gt;=Assumptions!$B$8,1+Assumptions!$B$7,1),0)</f>
        <v>9785</v>
      </c>
      <c r="M6" s="8" t="n">
        <f aca="false">IF(AND(People!$A6="Y",M$3&gt;=People!$D6,M$3&lt;=People!$E6),People!$F6/12*IF(M$3&gt;=Assumptions!$B$8,1+Assumptions!$B$7,1),0)</f>
        <v>9785</v>
      </c>
      <c r="N6" s="8" t="n">
        <f aca="false">IF(AND(People!$A6="Y",N$3&gt;=People!$D6,N$3&lt;=People!$E6),People!$F6/12*IF(N$3&gt;=Assumptions!$B$8,1+Assumptions!$B$7,1),0)</f>
        <v>9785</v>
      </c>
    </row>
    <row r="7" customFormat="false" ht="15" hidden="false" customHeight="false" outlineLevel="0" collapsed="false">
      <c r="A7" s="32" t="str">
        <f aca="false">IF(People!B7="","",People!B7)</f>
        <v>Kim Lee</v>
      </c>
      <c r="B7" s="8" t="n">
        <f aca="false">SUM(C7:N7)</f>
        <v>0</v>
      </c>
      <c r="C7" s="8" t="n">
        <f aca="false">IF(AND(People!$A7="Y",C$3&gt;=People!$D7,C$3&lt;=People!$E7),People!$F7/12*IF(C$3&gt;=Assumptions!$B$8,1+Assumptions!$B$7,1),0)</f>
        <v>0</v>
      </c>
      <c r="D7" s="8" t="n">
        <f aca="false">IF(AND(People!$A7="Y",D$3&gt;=People!$D7,D$3&lt;=People!$E7),People!$F7/12*IF(D$3&gt;=Assumptions!$B$8,1+Assumptions!$B$7,1),0)</f>
        <v>0</v>
      </c>
      <c r="E7" s="8" t="n">
        <f aca="false">IF(AND(People!$A7="Y",E$3&gt;=People!$D7,E$3&lt;=People!$E7),People!$F7/12*IF(E$3&gt;=Assumptions!$B$8,1+Assumptions!$B$7,1),0)</f>
        <v>0</v>
      </c>
      <c r="F7" s="8" t="n">
        <f aca="false">IF(AND(People!$A7="Y",F$3&gt;=People!$D7,F$3&lt;=People!$E7),People!$F7/12*IF(F$3&gt;=Assumptions!$B$8,1+Assumptions!$B$7,1),0)</f>
        <v>0</v>
      </c>
      <c r="G7" s="8" t="n">
        <f aca="false">IF(AND(People!$A7="Y",G$3&gt;=People!$D7,G$3&lt;=People!$E7),People!$F7/12*IF(G$3&gt;=Assumptions!$B$8,1+Assumptions!$B$7,1),0)</f>
        <v>0</v>
      </c>
      <c r="H7" s="8" t="n">
        <f aca="false">IF(AND(People!$A7="Y",H$3&gt;=People!$D7,H$3&lt;=People!$E7),People!$F7/12*IF(H$3&gt;=Assumptions!$B$8,1+Assumptions!$B$7,1),0)</f>
        <v>0</v>
      </c>
      <c r="I7" s="8" t="n">
        <f aca="false">IF(AND(People!$A7="Y",I$3&gt;=People!$D7,I$3&lt;=People!$E7),People!$F7/12*IF(I$3&gt;=Assumptions!$B$8,1+Assumptions!$B$7,1),0)</f>
        <v>0</v>
      </c>
      <c r="J7" s="8" t="n">
        <f aca="false">IF(AND(People!$A7="Y",J$3&gt;=People!$D7,J$3&lt;=People!$E7),People!$F7/12*IF(J$3&gt;=Assumptions!$B$8,1+Assumptions!$B$7,1),0)</f>
        <v>0</v>
      </c>
      <c r="K7" s="8" t="n">
        <f aca="false">IF(AND(People!$A7="Y",K$3&gt;=People!$D7,K$3&lt;=People!$E7),People!$F7/12*IF(K$3&gt;=Assumptions!$B$8,1+Assumptions!$B$7,1),0)</f>
        <v>0</v>
      </c>
      <c r="L7" s="8" t="n">
        <f aca="false">IF(AND(People!$A7="Y",L$3&gt;=People!$D7,L$3&lt;=People!$E7),People!$F7/12*IF(L$3&gt;=Assumptions!$B$8,1+Assumptions!$B$7,1),0)</f>
        <v>0</v>
      </c>
      <c r="M7" s="8" t="n">
        <f aca="false">IF(AND(People!$A7="Y",M$3&gt;=People!$D7,M$3&lt;=People!$E7),People!$F7/12*IF(M$3&gt;=Assumptions!$B$8,1+Assumptions!$B$7,1),0)</f>
        <v>0</v>
      </c>
      <c r="N7" s="8" t="n">
        <f aca="false">IF(AND(People!$A7="Y",N$3&gt;=People!$D7,N$3&lt;=People!$E7),People!$F7/12*IF(N$3&gt;=Assumptions!$B$8,1+Assumptions!$B$7,1),0)</f>
        <v>0</v>
      </c>
    </row>
    <row r="8" customFormat="false" ht="15" hidden="false" customHeight="false" outlineLevel="0" collapsed="false">
      <c r="A8" s="32" t="str">
        <f aca="false">IF(People!B8="","",People!B8)</f>
        <v>Pat Owner Jr.</v>
      </c>
      <c r="B8" s="8" t="n">
        <f aca="false">SUM(C8:N8)</f>
        <v>0</v>
      </c>
      <c r="C8" s="8" t="n">
        <f aca="false">IF(AND(People!$A8="Y",C$3&gt;=People!$D8,C$3&lt;=People!$E8),People!$F8/12*IF(C$3&gt;=Assumptions!$B$8,1+Assumptions!$B$7,1),0)</f>
        <v>0</v>
      </c>
      <c r="D8" s="8" t="n">
        <f aca="false">IF(AND(People!$A8="Y",D$3&gt;=People!$D8,D$3&lt;=People!$E8),People!$F8/12*IF(D$3&gt;=Assumptions!$B$8,1+Assumptions!$B$7,1),0)</f>
        <v>0</v>
      </c>
      <c r="E8" s="8" t="n">
        <f aca="false">IF(AND(People!$A8="Y",E$3&gt;=People!$D8,E$3&lt;=People!$E8),People!$F8/12*IF(E$3&gt;=Assumptions!$B$8,1+Assumptions!$B$7,1),0)</f>
        <v>0</v>
      </c>
      <c r="F8" s="8" t="n">
        <f aca="false">IF(AND(People!$A8="Y",F$3&gt;=People!$D8,F$3&lt;=People!$E8),People!$F8/12*IF(F$3&gt;=Assumptions!$B$8,1+Assumptions!$B$7,1),0)</f>
        <v>0</v>
      </c>
      <c r="G8" s="8" t="n">
        <f aca="false">IF(AND(People!$A8="Y",G$3&gt;=People!$D8,G$3&lt;=People!$E8),People!$F8/12*IF(G$3&gt;=Assumptions!$B$8,1+Assumptions!$B$7,1),0)</f>
        <v>0</v>
      </c>
      <c r="H8" s="8" t="n">
        <f aca="false">IF(AND(People!$A8="Y",H$3&gt;=People!$D8,H$3&lt;=People!$E8),People!$F8/12*IF(H$3&gt;=Assumptions!$B$8,1+Assumptions!$B$7,1),0)</f>
        <v>0</v>
      </c>
      <c r="I8" s="8" t="n">
        <f aca="false">IF(AND(People!$A8="Y",I$3&gt;=People!$D8,I$3&lt;=People!$E8),People!$F8/12*IF(I$3&gt;=Assumptions!$B$8,1+Assumptions!$B$7,1),0)</f>
        <v>0</v>
      </c>
      <c r="J8" s="8" t="n">
        <f aca="false">IF(AND(People!$A8="Y",J$3&gt;=People!$D8,J$3&lt;=People!$E8),People!$F8/12*IF(J$3&gt;=Assumptions!$B$8,1+Assumptions!$B$7,1),0)</f>
        <v>0</v>
      </c>
      <c r="K8" s="8" t="n">
        <f aca="false">IF(AND(People!$A8="Y",K$3&gt;=People!$D8,K$3&lt;=People!$E8),People!$F8/12*IF(K$3&gt;=Assumptions!$B$8,1+Assumptions!$B$7,1),0)</f>
        <v>0</v>
      </c>
      <c r="L8" s="8" t="n">
        <f aca="false">IF(AND(People!$A8="Y",L$3&gt;=People!$D8,L$3&lt;=People!$E8),People!$F8/12*IF(L$3&gt;=Assumptions!$B$8,1+Assumptions!$B$7,1),0)</f>
        <v>0</v>
      </c>
      <c r="M8" s="8" t="n">
        <f aca="false">IF(AND(People!$A8="Y",M$3&gt;=People!$D8,M$3&lt;=People!$E8),People!$F8/12*IF(M$3&gt;=Assumptions!$B$8,1+Assumptions!$B$7,1),0)</f>
        <v>0</v>
      </c>
      <c r="N8" s="8" t="n">
        <f aca="false">IF(AND(People!$A8="Y",N$3&gt;=People!$D8,N$3&lt;=People!$E8),People!$F8/12*IF(N$3&gt;=Assumptions!$B$8,1+Assumptions!$B$7,1),0)</f>
        <v>0</v>
      </c>
    </row>
    <row r="9" customFormat="false" ht="15" hidden="false" customHeight="false" outlineLevel="0" collapsed="false">
      <c r="A9" s="32" t="str">
        <f aca="false">IF(People!B9="","",People!B9)</f>
        <v>Sam Staff</v>
      </c>
      <c r="B9" s="8" t="n">
        <f aca="false">SUM(C9:N9)</f>
        <v>0</v>
      </c>
      <c r="C9" s="8" t="n">
        <f aca="false">IF(AND(People!$A9="Y",C$3&gt;=People!$D9,C$3&lt;=People!$E9),People!$F9/12*IF(C$3&gt;=Assumptions!$B$8,1+Assumptions!$B$7,1),0)</f>
        <v>0</v>
      </c>
      <c r="D9" s="8" t="n">
        <f aca="false">IF(AND(People!$A9="Y",D$3&gt;=People!$D9,D$3&lt;=People!$E9),People!$F9/12*IF(D$3&gt;=Assumptions!$B$8,1+Assumptions!$B$7,1),0)</f>
        <v>0</v>
      </c>
      <c r="E9" s="8" t="n">
        <f aca="false">IF(AND(People!$A9="Y",E$3&gt;=People!$D9,E$3&lt;=People!$E9),People!$F9/12*IF(E$3&gt;=Assumptions!$B$8,1+Assumptions!$B$7,1),0)</f>
        <v>0</v>
      </c>
      <c r="F9" s="8" t="n">
        <f aca="false">IF(AND(People!$A9="Y",F$3&gt;=People!$D9,F$3&lt;=People!$E9),People!$F9/12*IF(F$3&gt;=Assumptions!$B$8,1+Assumptions!$B$7,1),0)</f>
        <v>0</v>
      </c>
      <c r="G9" s="8" t="n">
        <f aca="false">IF(AND(People!$A9="Y",G$3&gt;=People!$D9,G$3&lt;=People!$E9),People!$F9/12*IF(G$3&gt;=Assumptions!$B$8,1+Assumptions!$B$7,1),0)</f>
        <v>0</v>
      </c>
      <c r="H9" s="8" t="n">
        <f aca="false">IF(AND(People!$A9="Y",H$3&gt;=People!$D9,H$3&lt;=People!$E9),People!$F9/12*IF(H$3&gt;=Assumptions!$B$8,1+Assumptions!$B$7,1),0)</f>
        <v>0</v>
      </c>
      <c r="I9" s="8" t="n">
        <f aca="false">IF(AND(People!$A9="Y",I$3&gt;=People!$D9,I$3&lt;=People!$E9),People!$F9/12*IF(I$3&gt;=Assumptions!$B$8,1+Assumptions!$B$7,1),0)</f>
        <v>0</v>
      </c>
      <c r="J9" s="8" t="n">
        <f aca="false">IF(AND(People!$A9="Y",J$3&gt;=People!$D9,J$3&lt;=People!$E9),People!$F9/12*IF(J$3&gt;=Assumptions!$B$8,1+Assumptions!$B$7,1),0)</f>
        <v>0</v>
      </c>
      <c r="K9" s="8" t="n">
        <f aca="false">IF(AND(People!$A9="Y",K$3&gt;=People!$D9,K$3&lt;=People!$E9),People!$F9/12*IF(K$3&gt;=Assumptions!$B$8,1+Assumptions!$B$7,1),0)</f>
        <v>0</v>
      </c>
      <c r="L9" s="8" t="n">
        <f aca="false">IF(AND(People!$A9="Y",L$3&gt;=People!$D9,L$3&lt;=People!$E9),People!$F9/12*IF(L$3&gt;=Assumptions!$B$8,1+Assumptions!$B$7,1),0)</f>
        <v>0</v>
      </c>
      <c r="M9" s="8" t="n">
        <f aca="false">IF(AND(People!$A9="Y",M$3&gt;=People!$D9,M$3&lt;=People!$E9),People!$F9/12*IF(M$3&gt;=Assumptions!$B$8,1+Assumptions!$B$7,1),0)</f>
        <v>0</v>
      </c>
      <c r="N9" s="8" t="n">
        <f aca="false">IF(AND(People!$A9="Y",N$3&gt;=People!$D9,N$3&lt;=People!$E9),People!$F9/12*IF(N$3&gt;=Assumptions!$B$8,1+Assumptions!$B$7,1),0)</f>
        <v>0</v>
      </c>
    </row>
    <row r="10" customFormat="false" ht="15" hidden="false" customHeight="false" outlineLevel="0" collapsed="false">
      <c r="A10" s="32" t="str">
        <f aca="false">IF(People!B10="","",People!B10)</f>
        <v/>
      </c>
      <c r="B10" s="8" t="n">
        <f aca="false">SUM(C10:N10)</f>
        <v>0</v>
      </c>
      <c r="C10" s="8" t="n">
        <f aca="false">IF(AND(People!$A10="Y",C$3&gt;=People!$D10,C$3&lt;=People!$E10),People!$F10/12*IF(C$3&gt;=Assumptions!$B$8,1+Assumptions!$B$7,1),0)</f>
        <v>0</v>
      </c>
      <c r="D10" s="8" t="n">
        <f aca="false">IF(AND(People!$A10="Y",D$3&gt;=People!$D10,D$3&lt;=People!$E10),People!$F10/12*IF(D$3&gt;=Assumptions!$B$8,1+Assumptions!$B$7,1),0)</f>
        <v>0</v>
      </c>
      <c r="E10" s="8" t="n">
        <f aca="false">IF(AND(People!$A10="Y",E$3&gt;=People!$D10,E$3&lt;=People!$E10),People!$F10/12*IF(E$3&gt;=Assumptions!$B$8,1+Assumptions!$B$7,1),0)</f>
        <v>0</v>
      </c>
      <c r="F10" s="8" t="n">
        <f aca="false">IF(AND(People!$A10="Y",F$3&gt;=People!$D10,F$3&lt;=People!$E10),People!$F10/12*IF(F$3&gt;=Assumptions!$B$8,1+Assumptions!$B$7,1),0)</f>
        <v>0</v>
      </c>
      <c r="G10" s="8" t="n">
        <f aca="false">IF(AND(People!$A10="Y",G$3&gt;=People!$D10,G$3&lt;=People!$E10),People!$F10/12*IF(G$3&gt;=Assumptions!$B$8,1+Assumptions!$B$7,1),0)</f>
        <v>0</v>
      </c>
      <c r="H10" s="8" t="n">
        <f aca="false">IF(AND(People!$A10="Y",H$3&gt;=People!$D10,H$3&lt;=People!$E10),People!$F10/12*IF(H$3&gt;=Assumptions!$B$8,1+Assumptions!$B$7,1),0)</f>
        <v>0</v>
      </c>
      <c r="I10" s="8" t="n">
        <f aca="false">IF(AND(People!$A10="Y",I$3&gt;=People!$D10,I$3&lt;=People!$E10),People!$F10/12*IF(I$3&gt;=Assumptions!$B$8,1+Assumptions!$B$7,1),0)</f>
        <v>0</v>
      </c>
      <c r="J10" s="8" t="n">
        <f aca="false">IF(AND(People!$A10="Y",J$3&gt;=People!$D10,J$3&lt;=People!$E10),People!$F10/12*IF(J$3&gt;=Assumptions!$B$8,1+Assumptions!$B$7,1),0)</f>
        <v>0</v>
      </c>
      <c r="K10" s="8" t="n">
        <f aca="false">IF(AND(People!$A10="Y",K$3&gt;=People!$D10,K$3&lt;=People!$E10),People!$F10/12*IF(K$3&gt;=Assumptions!$B$8,1+Assumptions!$B$7,1),0)</f>
        <v>0</v>
      </c>
      <c r="L10" s="8" t="n">
        <f aca="false">IF(AND(People!$A10="Y",L$3&gt;=People!$D10,L$3&lt;=People!$E10),People!$F10/12*IF(L$3&gt;=Assumptions!$B$8,1+Assumptions!$B$7,1),0)</f>
        <v>0</v>
      </c>
      <c r="M10" s="8" t="n">
        <f aca="false">IF(AND(People!$A10="Y",M$3&gt;=People!$D10,M$3&lt;=People!$E10),People!$F10/12*IF(M$3&gt;=Assumptions!$B$8,1+Assumptions!$B$7,1),0)</f>
        <v>0</v>
      </c>
      <c r="N10" s="8" t="n">
        <f aca="false">IF(AND(People!$A10="Y",N$3&gt;=People!$D10,N$3&lt;=People!$E10),People!$F10/12*IF(N$3&gt;=Assumptions!$B$8,1+Assumptions!$B$7,1),0)</f>
        <v>0</v>
      </c>
    </row>
    <row r="11" customFormat="false" ht="15" hidden="false" customHeight="false" outlineLevel="0" collapsed="false">
      <c r="A11" s="3" t="s">
        <v>29</v>
      </c>
      <c r="B11" s="29" t="n">
        <f aca="false">SUM(B5:B10)</f>
        <v>271920</v>
      </c>
      <c r="C11" s="29" t="n">
        <f aca="false">SUM(C5:C10)</f>
        <v>22660</v>
      </c>
      <c r="D11" s="29" t="n">
        <f aca="false">SUM(D5:D10)</f>
        <v>22660</v>
      </c>
      <c r="E11" s="29" t="n">
        <f aca="false">SUM(E5:E10)</f>
        <v>22660</v>
      </c>
      <c r="F11" s="29" t="n">
        <f aca="false">SUM(F5:F10)</f>
        <v>22660</v>
      </c>
      <c r="G11" s="29" t="n">
        <f aca="false">SUM(G5:G10)</f>
        <v>22660</v>
      </c>
      <c r="H11" s="29" t="n">
        <f aca="false">SUM(H5:H10)</f>
        <v>22660</v>
      </c>
      <c r="I11" s="29" t="n">
        <f aca="false">SUM(I5:I10)</f>
        <v>22660</v>
      </c>
      <c r="J11" s="29" t="n">
        <f aca="false">SUM(J5:J10)</f>
        <v>22660</v>
      </c>
      <c r="K11" s="29" t="n">
        <f aca="false">SUM(K5:K10)</f>
        <v>22660</v>
      </c>
      <c r="L11" s="29" t="n">
        <f aca="false">SUM(L5:L10)</f>
        <v>22660</v>
      </c>
      <c r="M11" s="29" t="n">
        <f aca="false">SUM(M5:M10)</f>
        <v>22660</v>
      </c>
      <c r="N11" s="29" t="n">
        <f aca="false">SUM(N5:N10)</f>
        <v>22660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15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16" t="s">
        <v>114</v>
      </c>
    </row>
    <row r="4" customFormat="false" ht="26.85" hidden="false" customHeight="false" outlineLevel="0" collapsed="false">
      <c r="A4" s="5" t="s">
        <v>115</v>
      </c>
      <c r="B4" s="5" t="s">
        <v>116</v>
      </c>
      <c r="C4" s="5" t="s">
        <v>117</v>
      </c>
      <c r="D4" s="5" t="s">
        <v>118</v>
      </c>
      <c r="E4" s="5" t="s">
        <v>119</v>
      </c>
      <c r="F4" s="5" t="s">
        <v>120</v>
      </c>
      <c r="G4" s="5" t="s">
        <v>32</v>
      </c>
      <c r="H4" s="5" t="s">
        <v>121</v>
      </c>
      <c r="I4" s="5" t="s">
        <v>122</v>
      </c>
    </row>
    <row r="5" customFormat="false" ht="15" hidden="false" customHeight="false" outlineLevel="0" collapsed="false">
      <c r="A5" s="2" t="s">
        <v>33</v>
      </c>
      <c r="B5" s="2"/>
      <c r="C5" s="2" t="s">
        <v>123</v>
      </c>
      <c r="D5" s="2" t="s">
        <v>124</v>
      </c>
      <c r="E5" s="22" t="s">
        <v>83</v>
      </c>
      <c r="F5" s="8" t="n">
        <v>3586597.4</v>
      </c>
      <c r="G5" s="20" t="n">
        <v>0.03</v>
      </c>
      <c r="H5" s="24"/>
      <c r="I5" s="8" t="n">
        <f aca="false">IF(E5="Prior year + %",IF(H5&lt;&gt;"",H5,F5*(1+G5)),0)</f>
        <v>0</v>
      </c>
    </row>
    <row r="6" customFormat="false" ht="15" hidden="false" customHeight="false" outlineLevel="0" collapsed="false">
      <c r="A6" s="2" t="s">
        <v>33</v>
      </c>
      <c r="B6" s="2"/>
      <c r="C6" s="2" t="s">
        <v>125</v>
      </c>
      <c r="D6" s="2" t="s">
        <v>126</v>
      </c>
      <c r="E6" s="22" t="s">
        <v>83</v>
      </c>
      <c r="F6" s="8" t="n">
        <v>1438189.81</v>
      </c>
      <c r="G6" s="20" t="n">
        <v>0.03</v>
      </c>
      <c r="H6" s="24"/>
      <c r="I6" s="8" t="n">
        <f aca="false">IF(E6="Prior year + %",IF(H6&lt;&gt;"",H6,F6*(1+G6)),0)</f>
        <v>0</v>
      </c>
    </row>
    <row r="7" customFormat="false" ht="15" hidden="false" customHeight="false" outlineLevel="0" collapsed="false">
      <c r="A7" s="2" t="s">
        <v>33</v>
      </c>
      <c r="B7" s="2"/>
      <c r="C7" s="2" t="s">
        <v>127</v>
      </c>
      <c r="D7" s="2" t="s">
        <v>128</v>
      </c>
      <c r="E7" s="22" t="s">
        <v>129</v>
      </c>
      <c r="F7" s="8" t="n">
        <v>57276.75</v>
      </c>
      <c r="G7" s="20" t="n">
        <v>0.03</v>
      </c>
      <c r="H7" s="24"/>
      <c r="I7" s="8" t="n">
        <f aca="false">IF(E7="Prior year + %",IF(H7&lt;&gt;"",H7,F7*(1+G7)),0)</f>
        <v>58995.0525</v>
      </c>
    </row>
    <row r="8" customFormat="false" ht="15" hidden="false" customHeight="false" outlineLevel="0" collapsed="false">
      <c r="A8" s="2" t="s">
        <v>130</v>
      </c>
      <c r="B8" s="2"/>
      <c r="C8" s="2" t="s">
        <v>131</v>
      </c>
      <c r="D8" s="2" t="s">
        <v>132</v>
      </c>
      <c r="E8" s="22" t="s">
        <v>129</v>
      </c>
      <c r="F8" s="8" t="n">
        <v>6052.48</v>
      </c>
      <c r="G8" s="20" t="n">
        <v>0.03</v>
      </c>
      <c r="H8" s="24"/>
      <c r="I8" s="8" t="n">
        <f aca="false">IF(E8="Prior year + %",IF(H8&lt;&gt;"",H8,F8*(1+G8)),0)</f>
        <v>6234.0544</v>
      </c>
    </row>
    <row r="9" customFormat="false" ht="15" hidden="false" customHeight="false" outlineLevel="0" collapsed="false">
      <c r="A9" s="2" t="s">
        <v>133</v>
      </c>
      <c r="B9" s="2" t="s">
        <v>134</v>
      </c>
      <c r="C9" s="2" t="s">
        <v>135</v>
      </c>
      <c r="D9" s="2" t="s">
        <v>136</v>
      </c>
      <c r="E9" s="22" t="s">
        <v>83</v>
      </c>
      <c r="F9" s="8" t="n">
        <v>1839585.96</v>
      </c>
      <c r="G9" s="20" t="n">
        <v>0.03</v>
      </c>
      <c r="H9" s="24"/>
      <c r="I9" s="8" t="n">
        <f aca="false">IF(E9="Prior year + %",IF(H9&lt;&gt;"",H9,F9*(1+G9)),0)</f>
        <v>0</v>
      </c>
    </row>
    <row r="10" customFormat="false" ht="15" hidden="false" customHeight="false" outlineLevel="0" collapsed="false">
      <c r="A10" s="2" t="s">
        <v>133</v>
      </c>
      <c r="B10" s="2" t="s">
        <v>134</v>
      </c>
      <c r="C10" s="2" t="s">
        <v>137</v>
      </c>
      <c r="D10" s="2" t="s">
        <v>138</v>
      </c>
      <c r="E10" s="22" t="s">
        <v>83</v>
      </c>
      <c r="F10" s="8" t="n">
        <v>145687.76</v>
      </c>
      <c r="G10" s="20" t="n">
        <v>0.03</v>
      </c>
      <c r="H10" s="24"/>
      <c r="I10" s="8" t="n">
        <f aca="false">IF(E10="Prior year + %",IF(H10&lt;&gt;"",H10,F10*(1+G10)),0)</f>
        <v>0</v>
      </c>
    </row>
    <row r="11" customFormat="false" ht="15" hidden="false" customHeight="false" outlineLevel="0" collapsed="false">
      <c r="A11" s="2" t="s">
        <v>133</v>
      </c>
      <c r="B11" s="2" t="s">
        <v>134</v>
      </c>
      <c r="C11" s="2" t="s">
        <v>139</v>
      </c>
      <c r="D11" s="2" t="s">
        <v>140</v>
      </c>
      <c r="E11" s="22" t="s">
        <v>83</v>
      </c>
      <c r="F11" s="8" t="n">
        <v>107339.99</v>
      </c>
      <c r="G11" s="20" t="n">
        <v>0.03</v>
      </c>
      <c r="H11" s="24"/>
      <c r="I11" s="8" t="n">
        <f aca="false">IF(E11="Prior year + %",IF(H11&lt;&gt;"",H11,F11*(1+G11)),0)</f>
        <v>0</v>
      </c>
    </row>
    <row r="12" customFormat="false" ht="15" hidden="false" customHeight="false" outlineLevel="0" collapsed="false">
      <c r="A12" s="2" t="s">
        <v>133</v>
      </c>
      <c r="B12" s="2"/>
      <c r="C12" s="2" t="s">
        <v>141</v>
      </c>
      <c r="D12" s="2" t="s">
        <v>142</v>
      </c>
      <c r="E12" s="22" t="s">
        <v>129</v>
      </c>
      <c r="F12" s="8" t="n">
        <v>303870.57</v>
      </c>
      <c r="G12" s="20" t="n">
        <v>0.03</v>
      </c>
      <c r="H12" s="24"/>
      <c r="I12" s="8" t="n">
        <f aca="false">IF(E12="Prior year + %",IF(H12&lt;&gt;"",H12,F12*(1+G12)),0)</f>
        <v>312986.6871</v>
      </c>
    </row>
    <row r="13" customFormat="false" ht="15" hidden="false" customHeight="false" outlineLevel="0" collapsed="false">
      <c r="A13" s="2" t="s">
        <v>133</v>
      </c>
      <c r="B13" s="2"/>
      <c r="C13" s="2" t="s">
        <v>143</v>
      </c>
      <c r="D13" s="2" t="s">
        <v>144</v>
      </c>
      <c r="E13" s="22" t="s">
        <v>129</v>
      </c>
      <c r="F13" s="8" t="n">
        <v>98422.55</v>
      </c>
      <c r="G13" s="20" t="n">
        <v>0.03</v>
      </c>
      <c r="H13" s="24"/>
      <c r="I13" s="8" t="n">
        <f aca="false">IF(E13="Prior year + %",IF(H13&lt;&gt;"",H13,F13*(1+G13)),0)</f>
        <v>101375.2265</v>
      </c>
    </row>
    <row r="14" customFormat="false" ht="15" hidden="false" customHeight="false" outlineLevel="0" collapsed="false">
      <c r="A14" s="2" t="s">
        <v>133</v>
      </c>
      <c r="B14" s="2"/>
      <c r="C14" s="2" t="s">
        <v>145</v>
      </c>
      <c r="D14" s="2" t="s">
        <v>146</v>
      </c>
      <c r="E14" s="22" t="s">
        <v>129</v>
      </c>
      <c r="F14" s="8" t="n">
        <v>47763</v>
      </c>
      <c r="G14" s="20" t="n">
        <v>0.03</v>
      </c>
      <c r="H14" s="24"/>
      <c r="I14" s="8" t="n">
        <f aca="false">IF(E14="Prior year + %",IF(H14&lt;&gt;"",H14,F14*(1+G14)),0)</f>
        <v>49195.89</v>
      </c>
    </row>
    <row r="15" customFormat="false" ht="15" hidden="false" customHeight="false" outlineLevel="0" collapsed="false">
      <c r="A15" s="2" t="s">
        <v>147</v>
      </c>
      <c r="B15" s="2"/>
      <c r="C15" s="2" t="s">
        <v>148</v>
      </c>
      <c r="D15" s="2" t="s">
        <v>149</v>
      </c>
      <c r="E15" s="22" t="s">
        <v>129</v>
      </c>
      <c r="F15" s="8" t="n">
        <v>13929.12</v>
      </c>
      <c r="G15" s="20" t="n">
        <v>0.03</v>
      </c>
      <c r="H15" s="24"/>
      <c r="I15" s="8" t="n">
        <f aca="false">IF(E15="Prior year + %",IF(H15&lt;&gt;"",H15,F15*(1+G15)),0)</f>
        <v>14346.9936</v>
      </c>
    </row>
    <row r="17" customFormat="false" ht="15" hidden="false" customHeight="false" outlineLevel="0" collapsed="false">
      <c r="D17" s="3" t="s">
        <v>29</v>
      </c>
      <c r="F17" s="29" t="n">
        <f aca="false">SUM(F5:F16)</f>
        <v>7644715.39</v>
      </c>
      <c r="I17" s="29" t="n">
        <f aca="false">SUM(I5:I16)</f>
        <v>543133.9041</v>
      </c>
    </row>
  </sheetData>
  <dataValidations count="1">
    <dataValidation allowBlank="false" errorStyle="stop" operator="between" showDropDown="false" showErrorMessage="false" showInputMessage="false" sqref="E5:E16" type="list">
      <formula1>"Prior year + %,People plan,Exclude"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15"/>
    <col collapsed="false" customWidth="true" hidden="false" outlineLevel="0" max="10" min="10" style="0" width="36"/>
    <col collapsed="false" customWidth="true" hidden="false" outlineLevel="0" max="22" min="11" style="0" width="12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16" t="s">
        <v>151</v>
      </c>
    </row>
    <row r="3" customFormat="false" ht="15" hidden="false" customHeight="false" outlineLevel="0" collapsed="false">
      <c r="K3" s="4" t="n">
        <v>1</v>
      </c>
      <c r="L3" s="4" t="n">
        <v>2</v>
      </c>
      <c r="M3" s="4" t="n">
        <v>3</v>
      </c>
      <c r="N3" s="4" t="n">
        <v>4</v>
      </c>
      <c r="O3" s="4" t="n">
        <v>5</v>
      </c>
      <c r="P3" s="4" t="n">
        <v>6</v>
      </c>
      <c r="Q3" s="4" t="n">
        <v>7</v>
      </c>
      <c r="R3" s="4" t="n">
        <v>8</v>
      </c>
      <c r="S3" s="4" t="n">
        <v>9</v>
      </c>
      <c r="T3" s="4" t="n">
        <v>10</v>
      </c>
      <c r="U3" s="4" t="n">
        <v>11</v>
      </c>
      <c r="V3" s="4" t="n">
        <v>12</v>
      </c>
    </row>
    <row r="4" customFormat="false" ht="26.85" hidden="false" customHeight="false" outlineLevel="0" collapsed="false">
      <c r="A4" s="5" t="s">
        <v>85</v>
      </c>
      <c r="B4" s="5" t="s">
        <v>152</v>
      </c>
      <c r="C4" s="5" t="s">
        <v>115</v>
      </c>
      <c r="D4" s="5" t="s">
        <v>153</v>
      </c>
      <c r="E4" s="5" t="s">
        <v>154</v>
      </c>
      <c r="F4" s="5" t="s">
        <v>155</v>
      </c>
      <c r="G4" s="5" t="s">
        <v>88</v>
      </c>
      <c r="H4" s="5" t="s">
        <v>89</v>
      </c>
      <c r="I4" s="5" t="s">
        <v>156</v>
      </c>
      <c r="J4" s="5" t="s">
        <v>63</v>
      </c>
      <c r="K4" s="31" t="s">
        <v>17</v>
      </c>
      <c r="L4" s="31" t="s">
        <v>18</v>
      </c>
      <c r="M4" s="31" t="s">
        <v>19</v>
      </c>
      <c r="N4" s="31" t="s">
        <v>20</v>
      </c>
      <c r="O4" s="31" t="s">
        <v>21</v>
      </c>
      <c r="P4" s="31" t="s">
        <v>22</v>
      </c>
      <c r="Q4" s="31" t="s">
        <v>23</v>
      </c>
      <c r="R4" s="31" t="s">
        <v>24</v>
      </c>
      <c r="S4" s="31" t="s">
        <v>25</v>
      </c>
      <c r="T4" s="31" t="s">
        <v>26</v>
      </c>
      <c r="U4" s="31" t="s">
        <v>27</v>
      </c>
      <c r="V4" s="31" t="s">
        <v>28</v>
      </c>
    </row>
    <row r="5" customFormat="false" ht="15" hidden="false" customHeight="false" outlineLevel="0" collapsed="false">
      <c r="A5" s="22" t="s">
        <v>99</v>
      </c>
      <c r="B5" s="22" t="s">
        <v>157</v>
      </c>
      <c r="C5" s="22" t="s">
        <v>54</v>
      </c>
      <c r="D5" s="22" t="s">
        <v>158</v>
      </c>
      <c r="E5" s="24" t="n">
        <v>100000</v>
      </c>
      <c r="F5" s="22" t="s">
        <v>159</v>
      </c>
      <c r="G5" s="23" t="n">
        <v>1</v>
      </c>
      <c r="H5" s="23" t="n">
        <v>12</v>
      </c>
      <c r="I5" s="8" t="n">
        <f aca="false">SUM(K5:V5)</f>
        <v>1200000</v>
      </c>
      <c r="J5" s="2"/>
      <c r="K5" s="8" t="n">
        <f aca="false">IF($A5="Y",IF($F5="One-time",IF(K$3=$G5,$E5,0),IF(AND(K$3&gt;=$G5,K$3&lt;=MAX($H5,$G5)),IF($F5="Per year",$E5/(MAX($H5,$G5)-$G5+1),$E5),0)),0)</f>
        <v>100000</v>
      </c>
      <c r="L5" s="8" t="n">
        <f aca="false">IF($A5="Y",IF($F5="One-time",IF(L$3=$G5,$E5,0),IF(AND(L$3&gt;=$G5,L$3&lt;=MAX($H5,$G5)),IF($F5="Per year",$E5/(MAX($H5,$G5)-$G5+1),$E5),0)),0)</f>
        <v>100000</v>
      </c>
      <c r="M5" s="8" t="n">
        <f aca="false">IF($A5="Y",IF($F5="One-time",IF(M$3=$G5,$E5,0),IF(AND(M$3&gt;=$G5,M$3&lt;=MAX($H5,$G5)),IF($F5="Per year",$E5/(MAX($H5,$G5)-$G5+1),$E5),0)),0)</f>
        <v>100000</v>
      </c>
      <c r="N5" s="8" t="n">
        <f aca="false">IF($A5="Y",IF($F5="One-time",IF(N$3=$G5,$E5,0),IF(AND(N$3&gt;=$G5,N$3&lt;=MAX($H5,$G5)),IF($F5="Per year",$E5/(MAX($H5,$G5)-$G5+1),$E5),0)),0)</f>
        <v>100000</v>
      </c>
      <c r="O5" s="8" t="n">
        <f aca="false">IF($A5="Y",IF($F5="One-time",IF(O$3=$G5,$E5,0),IF(AND(O$3&gt;=$G5,O$3&lt;=MAX($H5,$G5)),IF($F5="Per year",$E5/(MAX($H5,$G5)-$G5+1),$E5),0)),0)</f>
        <v>100000</v>
      </c>
      <c r="P5" s="8" t="n">
        <f aca="false">IF($A5="Y",IF($F5="One-time",IF(P$3=$G5,$E5,0),IF(AND(P$3&gt;=$G5,P$3&lt;=MAX($H5,$G5)),IF($F5="Per year",$E5/(MAX($H5,$G5)-$G5+1),$E5),0)),0)</f>
        <v>100000</v>
      </c>
      <c r="Q5" s="8" t="n">
        <f aca="false">IF($A5="Y",IF($F5="One-time",IF(Q$3=$G5,$E5,0),IF(AND(Q$3&gt;=$G5,Q$3&lt;=MAX($H5,$G5)),IF($F5="Per year",$E5/(MAX($H5,$G5)-$G5+1),$E5),0)),0)</f>
        <v>100000</v>
      </c>
      <c r="R5" s="8" t="n">
        <f aca="false">IF($A5="Y",IF($F5="One-time",IF(R$3=$G5,$E5,0),IF(AND(R$3&gt;=$G5,R$3&lt;=MAX($H5,$G5)),IF($F5="Per year",$E5/(MAX($H5,$G5)-$G5+1),$E5),0)),0)</f>
        <v>100000</v>
      </c>
      <c r="S5" s="8" t="n">
        <f aca="false">IF($A5="Y",IF($F5="One-time",IF(S$3=$G5,$E5,0),IF(AND(S$3&gt;=$G5,S$3&lt;=MAX($H5,$G5)),IF($F5="Per year",$E5/(MAX($H5,$G5)-$G5+1),$E5),0)),0)</f>
        <v>100000</v>
      </c>
      <c r="T5" s="8" t="n">
        <f aca="false">IF($A5="Y",IF($F5="One-time",IF(T$3=$G5,$E5,0),IF(AND(T$3&gt;=$G5,T$3&lt;=MAX($H5,$G5)),IF($F5="Per year",$E5/(MAX($H5,$G5)-$G5+1),$E5),0)),0)</f>
        <v>100000</v>
      </c>
      <c r="U5" s="8" t="n">
        <f aca="false">IF($A5="Y",IF($F5="One-time",IF(U$3=$G5,$E5,0),IF(AND(U$3&gt;=$G5,U$3&lt;=MAX($H5,$G5)),IF($F5="Per year",$E5/(MAX($H5,$G5)-$G5+1),$E5),0)),0)</f>
        <v>100000</v>
      </c>
      <c r="V5" s="8" t="n">
        <f aca="false">IF($A5="Y",IF($F5="One-time",IF(V$3=$G5,$E5,0),IF(AND(V$3&gt;=$G5,V$3&lt;=MAX($H5,$G5)),IF($F5="Per year",$E5/(MAX($H5,$G5)-$G5+1),$E5),0)),0)</f>
        <v>100000</v>
      </c>
    </row>
    <row r="6" customFormat="false" ht="15" hidden="false" customHeight="false" outlineLevel="0" collapsed="false">
      <c r="A6" s="22" t="s">
        <v>99</v>
      </c>
      <c r="B6" s="22" t="s">
        <v>160</v>
      </c>
      <c r="C6" s="22" t="s">
        <v>54</v>
      </c>
      <c r="D6" s="22" t="s">
        <v>161</v>
      </c>
      <c r="E6" s="24" t="n">
        <v>30000</v>
      </c>
      <c r="F6" s="22" t="s">
        <v>159</v>
      </c>
      <c r="G6" s="23" t="n">
        <v>1</v>
      </c>
      <c r="H6" s="23" t="n">
        <v>12</v>
      </c>
      <c r="I6" s="8" t="n">
        <f aca="false">SUM(K6:V6)</f>
        <v>360000</v>
      </c>
      <c r="J6" s="2"/>
      <c r="K6" s="8" t="n">
        <f aca="false">IF($A6="Y",IF($F6="One-time",IF(K$3=$G6,$E6,0),IF(AND(K$3&gt;=$G6,K$3&lt;=MAX($H6,$G6)),IF($F6="Per year",$E6/(MAX($H6,$G6)-$G6+1),$E6),0)),0)</f>
        <v>30000</v>
      </c>
      <c r="L6" s="8" t="n">
        <f aca="false">IF($A6="Y",IF($F6="One-time",IF(L$3=$G6,$E6,0),IF(AND(L$3&gt;=$G6,L$3&lt;=MAX($H6,$G6)),IF($F6="Per year",$E6/(MAX($H6,$G6)-$G6+1),$E6),0)),0)</f>
        <v>30000</v>
      </c>
      <c r="M6" s="8" t="n">
        <f aca="false">IF($A6="Y",IF($F6="One-time",IF(M$3=$G6,$E6,0),IF(AND(M$3&gt;=$G6,M$3&lt;=MAX($H6,$G6)),IF($F6="Per year",$E6/(MAX($H6,$G6)-$G6+1),$E6),0)),0)</f>
        <v>30000</v>
      </c>
      <c r="N6" s="8" t="n">
        <f aca="false">IF($A6="Y",IF($F6="One-time",IF(N$3=$G6,$E6,0),IF(AND(N$3&gt;=$G6,N$3&lt;=MAX($H6,$G6)),IF($F6="Per year",$E6/(MAX($H6,$G6)-$G6+1),$E6),0)),0)</f>
        <v>30000</v>
      </c>
      <c r="O6" s="8" t="n">
        <f aca="false">IF($A6="Y",IF($F6="One-time",IF(O$3=$G6,$E6,0),IF(AND(O$3&gt;=$G6,O$3&lt;=MAX($H6,$G6)),IF($F6="Per year",$E6/(MAX($H6,$G6)-$G6+1),$E6),0)),0)</f>
        <v>30000</v>
      </c>
      <c r="P6" s="8" t="n">
        <f aca="false">IF($A6="Y",IF($F6="One-time",IF(P$3=$G6,$E6,0),IF(AND(P$3&gt;=$G6,P$3&lt;=MAX($H6,$G6)),IF($F6="Per year",$E6/(MAX($H6,$G6)-$G6+1),$E6),0)),0)</f>
        <v>30000</v>
      </c>
      <c r="Q6" s="8" t="n">
        <f aca="false">IF($A6="Y",IF($F6="One-time",IF(Q$3=$G6,$E6,0),IF(AND(Q$3&gt;=$G6,Q$3&lt;=MAX($H6,$G6)),IF($F6="Per year",$E6/(MAX($H6,$G6)-$G6+1),$E6),0)),0)</f>
        <v>30000</v>
      </c>
      <c r="R6" s="8" t="n">
        <f aca="false">IF($A6="Y",IF($F6="One-time",IF(R$3=$G6,$E6,0),IF(AND(R$3&gt;=$G6,R$3&lt;=MAX($H6,$G6)),IF($F6="Per year",$E6/(MAX($H6,$G6)-$G6+1),$E6),0)),0)</f>
        <v>30000</v>
      </c>
      <c r="S6" s="8" t="n">
        <f aca="false">IF($A6="Y",IF($F6="One-time",IF(S$3=$G6,$E6,0),IF(AND(S$3&gt;=$G6,S$3&lt;=MAX($H6,$G6)),IF($F6="Per year",$E6/(MAX($H6,$G6)-$G6+1),$E6),0)),0)</f>
        <v>30000</v>
      </c>
      <c r="T6" s="8" t="n">
        <f aca="false">IF($A6="Y",IF($F6="One-time",IF(T$3=$G6,$E6,0),IF(AND(T$3&gt;=$G6,T$3&lt;=MAX($H6,$G6)),IF($F6="Per year",$E6/(MAX($H6,$G6)-$G6+1),$E6),0)),0)</f>
        <v>30000</v>
      </c>
      <c r="U6" s="8" t="n">
        <f aca="false">IF($A6="Y",IF($F6="One-time",IF(U$3=$G6,$E6,0),IF(AND(U$3&gt;=$G6,U$3&lt;=MAX($H6,$G6)),IF($F6="Per year",$E6/(MAX($H6,$G6)-$G6+1),$E6),0)),0)</f>
        <v>30000</v>
      </c>
      <c r="V6" s="8" t="n">
        <f aca="false">IF($A6="Y",IF($F6="One-time",IF(V$3=$G6,$E6,0),IF(AND(V$3&gt;=$G6,V$3&lt;=MAX($H6,$G6)),IF($F6="Per year",$E6/(MAX($H6,$G6)-$G6+1),$E6),0)),0)</f>
        <v>30000</v>
      </c>
    </row>
    <row r="7" customFormat="false" ht="15" hidden="false" customHeight="false" outlineLevel="0" collapsed="false">
      <c r="A7" s="22" t="s">
        <v>99</v>
      </c>
      <c r="B7" s="22" t="s">
        <v>162</v>
      </c>
      <c r="C7" s="22" t="s">
        <v>37</v>
      </c>
      <c r="D7" s="22"/>
      <c r="E7" s="24" t="n">
        <v>120000</v>
      </c>
      <c r="F7" s="22" t="s">
        <v>163</v>
      </c>
      <c r="G7" s="23" t="n">
        <v>12</v>
      </c>
      <c r="H7" s="23" t="n">
        <v>12</v>
      </c>
      <c r="I7" s="8" t="n">
        <f aca="false">SUM(K7:V7)</f>
        <v>120000</v>
      </c>
      <c r="J7" s="2"/>
      <c r="K7" s="8" t="n">
        <f aca="false">IF($A7="Y",IF($F7="One-time",IF(K$3=$G7,$E7,0),IF(AND(K$3&gt;=$G7,K$3&lt;=MAX($H7,$G7)),IF($F7="Per year",$E7/(MAX($H7,$G7)-$G7+1),$E7),0)),0)</f>
        <v>0</v>
      </c>
      <c r="L7" s="8" t="n">
        <f aca="false">IF($A7="Y",IF($F7="One-time",IF(L$3=$G7,$E7,0),IF(AND(L$3&gt;=$G7,L$3&lt;=MAX($H7,$G7)),IF($F7="Per year",$E7/(MAX($H7,$G7)-$G7+1),$E7),0)),0)</f>
        <v>0</v>
      </c>
      <c r="M7" s="8" t="n">
        <f aca="false">IF($A7="Y",IF($F7="One-time",IF(M$3=$G7,$E7,0),IF(AND(M$3&gt;=$G7,M$3&lt;=MAX($H7,$G7)),IF($F7="Per year",$E7/(MAX($H7,$G7)-$G7+1),$E7),0)),0)</f>
        <v>0</v>
      </c>
      <c r="N7" s="8" t="n">
        <f aca="false">IF($A7="Y",IF($F7="One-time",IF(N$3=$G7,$E7,0),IF(AND(N$3&gt;=$G7,N$3&lt;=MAX($H7,$G7)),IF($F7="Per year",$E7/(MAX($H7,$G7)-$G7+1),$E7),0)),0)</f>
        <v>0</v>
      </c>
      <c r="O7" s="8" t="n">
        <f aca="false">IF($A7="Y",IF($F7="One-time",IF(O$3=$G7,$E7,0),IF(AND(O$3&gt;=$G7,O$3&lt;=MAX($H7,$G7)),IF($F7="Per year",$E7/(MAX($H7,$G7)-$G7+1),$E7),0)),0)</f>
        <v>0</v>
      </c>
      <c r="P7" s="8" t="n">
        <f aca="false">IF($A7="Y",IF($F7="One-time",IF(P$3=$G7,$E7,0),IF(AND(P$3&gt;=$G7,P$3&lt;=MAX($H7,$G7)),IF($F7="Per year",$E7/(MAX($H7,$G7)-$G7+1),$E7),0)),0)</f>
        <v>0</v>
      </c>
      <c r="Q7" s="8" t="n">
        <f aca="false">IF($A7="Y",IF($F7="One-time",IF(Q$3=$G7,$E7,0),IF(AND(Q$3&gt;=$G7,Q$3&lt;=MAX($H7,$G7)),IF($F7="Per year",$E7/(MAX($H7,$G7)-$G7+1),$E7),0)),0)</f>
        <v>0</v>
      </c>
      <c r="R7" s="8" t="n">
        <f aca="false">IF($A7="Y",IF($F7="One-time",IF(R$3=$G7,$E7,0),IF(AND(R$3&gt;=$G7,R$3&lt;=MAX($H7,$G7)),IF($F7="Per year",$E7/(MAX($H7,$G7)-$G7+1),$E7),0)),0)</f>
        <v>0</v>
      </c>
      <c r="S7" s="8" t="n">
        <f aca="false">IF($A7="Y",IF($F7="One-time",IF(S$3=$G7,$E7,0),IF(AND(S$3&gt;=$G7,S$3&lt;=MAX($H7,$G7)),IF($F7="Per year",$E7/(MAX($H7,$G7)-$G7+1),$E7),0)),0)</f>
        <v>0</v>
      </c>
      <c r="T7" s="8" t="n">
        <f aca="false">IF($A7="Y",IF($F7="One-time",IF(T$3=$G7,$E7,0),IF(AND(T$3&gt;=$G7,T$3&lt;=MAX($H7,$G7)),IF($F7="Per year",$E7/(MAX($H7,$G7)-$G7+1),$E7),0)),0)</f>
        <v>0</v>
      </c>
      <c r="U7" s="8" t="n">
        <f aca="false">IF($A7="Y",IF($F7="One-time",IF(U$3=$G7,$E7,0),IF(AND(U$3&gt;=$G7,U$3&lt;=MAX($H7,$G7)),IF($F7="Per year",$E7/(MAX($H7,$G7)-$G7+1),$E7),0)),0)</f>
        <v>0</v>
      </c>
      <c r="V7" s="8" t="n">
        <f aca="false">IF($A7="Y",IF($F7="One-time",IF(V$3=$G7,$E7,0),IF(AND(V$3&gt;=$G7,V$3&lt;=MAX($H7,$G7)),IF($F7="Per year",$E7/(MAX($H7,$G7)-$G7+1),$E7),0)),0)</f>
        <v>120000</v>
      </c>
    </row>
    <row r="8" customFormat="false" ht="15" hidden="false" customHeight="false" outlineLevel="0" collapsed="false">
      <c r="A8" s="22" t="s">
        <v>99</v>
      </c>
      <c r="B8" s="22" t="s">
        <v>164</v>
      </c>
      <c r="C8" s="22" t="s">
        <v>165</v>
      </c>
      <c r="D8" s="22"/>
      <c r="E8" s="24" t="n">
        <v>60000</v>
      </c>
      <c r="F8" s="22" t="s">
        <v>166</v>
      </c>
      <c r="G8" s="23" t="n">
        <v>7</v>
      </c>
      <c r="H8" s="23" t="n">
        <v>12</v>
      </c>
      <c r="I8" s="8" t="n">
        <f aca="false">SUM(K8:V8)</f>
        <v>60000</v>
      </c>
      <c r="J8" s="2"/>
      <c r="K8" s="8" t="n">
        <f aca="false">IF($A8="Y",IF($F8="One-time",IF(K$3=$G8,$E8,0),IF(AND(K$3&gt;=$G8,K$3&lt;=MAX($H8,$G8)),IF($F8="Per year",$E8/(MAX($H8,$G8)-$G8+1),$E8),0)),0)</f>
        <v>0</v>
      </c>
      <c r="L8" s="8" t="n">
        <f aca="false">IF($A8="Y",IF($F8="One-time",IF(L$3=$G8,$E8,0),IF(AND(L$3&gt;=$G8,L$3&lt;=MAX($H8,$G8)),IF($F8="Per year",$E8/(MAX($H8,$G8)-$G8+1),$E8),0)),0)</f>
        <v>0</v>
      </c>
      <c r="M8" s="8" t="n">
        <f aca="false">IF($A8="Y",IF($F8="One-time",IF(M$3=$G8,$E8,0),IF(AND(M$3&gt;=$G8,M$3&lt;=MAX($H8,$G8)),IF($F8="Per year",$E8/(MAX($H8,$G8)-$G8+1),$E8),0)),0)</f>
        <v>0</v>
      </c>
      <c r="N8" s="8" t="n">
        <f aca="false">IF($A8="Y",IF($F8="One-time",IF(N$3=$G8,$E8,0),IF(AND(N$3&gt;=$G8,N$3&lt;=MAX($H8,$G8)),IF($F8="Per year",$E8/(MAX($H8,$G8)-$G8+1),$E8),0)),0)</f>
        <v>0</v>
      </c>
      <c r="O8" s="8" t="n">
        <f aca="false">IF($A8="Y",IF($F8="One-time",IF(O$3=$G8,$E8,0),IF(AND(O$3&gt;=$G8,O$3&lt;=MAX($H8,$G8)),IF($F8="Per year",$E8/(MAX($H8,$G8)-$G8+1),$E8),0)),0)</f>
        <v>0</v>
      </c>
      <c r="P8" s="8" t="n">
        <f aca="false">IF($A8="Y",IF($F8="One-time",IF(P$3=$G8,$E8,0),IF(AND(P$3&gt;=$G8,P$3&lt;=MAX($H8,$G8)),IF($F8="Per year",$E8/(MAX($H8,$G8)-$G8+1),$E8),0)),0)</f>
        <v>0</v>
      </c>
      <c r="Q8" s="8" t="n">
        <f aca="false">IF($A8="Y",IF($F8="One-time",IF(Q$3=$G8,$E8,0),IF(AND(Q$3&gt;=$G8,Q$3&lt;=MAX($H8,$G8)),IF($F8="Per year",$E8/(MAX($H8,$G8)-$G8+1),$E8),0)),0)</f>
        <v>10000</v>
      </c>
      <c r="R8" s="8" t="n">
        <f aca="false">IF($A8="Y",IF($F8="One-time",IF(R$3=$G8,$E8,0),IF(AND(R$3&gt;=$G8,R$3&lt;=MAX($H8,$G8)),IF($F8="Per year",$E8/(MAX($H8,$G8)-$G8+1),$E8),0)),0)</f>
        <v>10000</v>
      </c>
      <c r="S8" s="8" t="n">
        <f aca="false">IF($A8="Y",IF($F8="One-time",IF(S$3=$G8,$E8,0),IF(AND(S$3&gt;=$G8,S$3&lt;=MAX($H8,$G8)),IF($F8="Per year",$E8/(MAX($H8,$G8)-$G8+1),$E8),0)),0)</f>
        <v>10000</v>
      </c>
      <c r="T8" s="8" t="n">
        <f aca="false">IF($A8="Y",IF($F8="One-time",IF(T$3=$G8,$E8,0),IF(AND(T$3&gt;=$G8,T$3&lt;=MAX($H8,$G8)),IF($F8="Per year",$E8/(MAX($H8,$G8)-$G8+1),$E8),0)),0)</f>
        <v>10000</v>
      </c>
      <c r="U8" s="8" t="n">
        <f aca="false">IF($A8="Y",IF($F8="One-time",IF(U$3=$G8,$E8,0),IF(AND(U$3&gt;=$G8,U$3&lt;=MAX($H8,$G8)),IF($F8="Per year",$E8/(MAX($H8,$G8)-$G8+1),$E8),0)),0)</f>
        <v>10000</v>
      </c>
      <c r="V8" s="8" t="n">
        <f aca="false">IF($A8="Y",IF($F8="One-time",IF(V$3=$G8,$E8,0),IF(AND(V$3&gt;=$G8,V$3&lt;=MAX($H8,$G8)),IF($F8="Per year",$E8/(MAX($H8,$G8)-$G8+1),$E8),0)),0)</f>
        <v>10000</v>
      </c>
    </row>
    <row r="9" customFormat="false" ht="15" hidden="false" customHeight="false" outlineLevel="0" collapsed="false">
      <c r="I9" s="8" t="n">
        <f aca="false">SUM(K9:V9)</f>
        <v>0</v>
      </c>
      <c r="K9" s="8" t="n">
        <f aca="false">IF($A9="Y",IF($F9="One-time",IF(K$3=$G9,$E9,0),IF(AND(K$3&gt;=$G9,K$3&lt;=MAX($H9,$G9)),IF($F9="Per year",$E9/(MAX($H9,$G9)-$G9+1),$E9),0)),0)</f>
        <v>0</v>
      </c>
      <c r="L9" s="8" t="n">
        <f aca="false">IF($A9="Y",IF($F9="One-time",IF(L$3=$G9,$E9,0),IF(AND(L$3&gt;=$G9,L$3&lt;=MAX($H9,$G9)),IF($F9="Per year",$E9/(MAX($H9,$G9)-$G9+1),$E9),0)),0)</f>
        <v>0</v>
      </c>
      <c r="M9" s="8" t="n">
        <f aca="false">IF($A9="Y",IF($F9="One-time",IF(M$3=$G9,$E9,0),IF(AND(M$3&gt;=$G9,M$3&lt;=MAX($H9,$G9)),IF($F9="Per year",$E9/(MAX($H9,$G9)-$G9+1),$E9),0)),0)</f>
        <v>0</v>
      </c>
      <c r="N9" s="8" t="n">
        <f aca="false">IF($A9="Y",IF($F9="One-time",IF(N$3=$G9,$E9,0),IF(AND(N$3&gt;=$G9,N$3&lt;=MAX($H9,$G9)),IF($F9="Per year",$E9/(MAX($H9,$G9)-$G9+1),$E9),0)),0)</f>
        <v>0</v>
      </c>
      <c r="O9" s="8" t="n">
        <f aca="false">IF($A9="Y",IF($F9="One-time",IF(O$3=$G9,$E9,0),IF(AND(O$3&gt;=$G9,O$3&lt;=MAX($H9,$G9)),IF($F9="Per year",$E9/(MAX($H9,$G9)-$G9+1),$E9),0)),0)</f>
        <v>0</v>
      </c>
      <c r="P9" s="8" t="n">
        <f aca="false">IF($A9="Y",IF($F9="One-time",IF(P$3=$G9,$E9,0),IF(AND(P$3&gt;=$G9,P$3&lt;=MAX($H9,$G9)),IF($F9="Per year",$E9/(MAX($H9,$G9)-$G9+1),$E9),0)),0)</f>
        <v>0</v>
      </c>
      <c r="Q9" s="8" t="n">
        <f aca="false">IF($A9="Y",IF($F9="One-time",IF(Q$3=$G9,$E9,0),IF(AND(Q$3&gt;=$G9,Q$3&lt;=MAX($H9,$G9)),IF($F9="Per year",$E9/(MAX($H9,$G9)-$G9+1),$E9),0)),0)</f>
        <v>0</v>
      </c>
      <c r="R9" s="8" t="n">
        <f aca="false">IF($A9="Y",IF($F9="One-time",IF(R$3=$G9,$E9,0),IF(AND(R$3&gt;=$G9,R$3&lt;=MAX($H9,$G9)),IF($F9="Per year",$E9/(MAX($H9,$G9)-$G9+1),$E9),0)),0)</f>
        <v>0</v>
      </c>
      <c r="S9" s="8" t="n">
        <f aca="false">IF($A9="Y",IF($F9="One-time",IF(S$3=$G9,$E9,0),IF(AND(S$3&gt;=$G9,S$3&lt;=MAX($H9,$G9)),IF($F9="Per year",$E9/(MAX($H9,$G9)-$G9+1),$E9),0)),0)</f>
        <v>0</v>
      </c>
      <c r="T9" s="8" t="n">
        <f aca="false">IF($A9="Y",IF($F9="One-time",IF(T$3=$G9,$E9,0),IF(AND(T$3&gt;=$G9,T$3&lt;=MAX($H9,$G9)),IF($F9="Per year",$E9/(MAX($H9,$G9)-$G9+1),$E9),0)),0)</f>
        <v>0</v>
      </c>
      <c r="U9" s="8" t="n">
        <f aca="false">IF($A9="Y",IF($F9="One-time",IF(U$3=$G9,$E9,0),IF(AND(U$3&gt;=$G9,U$3&lt;=MAX($H9,$G9)),IF($F9="Per year",$E9/(MAX($H9,$G9)-$G9+1),$E9),0)),0)</f>
        <v>0</v>
      </c>
      <c r="V9" s="8" t="n">
        <f aca="false">IF($A9="Y",IF($F9="One-time",IF(V$3=$G9,$E9,0),IF(AND(V$3&gt;=$G9,V$3&lt;=MAX($H9,$G9)),IF($F9="Per year",$E9/(MAX($H9,$G9)-$G9+1),$E9),0)),0)</f>
        <v>0</v>
      </c>
    </row>
  </sheetData>
  <dataValidations count="3">
    <dataValidation allowBlank="true" errorStyle="stop" operator="between" showDropDown="false" showErrorMessage="false" showInputMessage="false" sqref="A5:A9" type="list">
      <formula1>"Y,N"</formula1>
      <formula2>0</formula2>
    </dataValidation>
    <dataValidation allowBlank="true" errorStyle="stop" operator="between" showDropDown="false" showErrorMessage="false" showInputMessage="false" sqref="C5:C9" type="list">
      <formula1>"Owner draws,Personnel,Operating expense,Other expense,Revenue,Other income"</formula1>
      <formula2>0</formula2>
    </dataValidation>
    <dataValidation allowBlank="true" errorStyle="stop" operator="between" showDropDown="false" showErrorMessage="false" showInputMessage="false" sqref="F5:F9" type="list">
      <formula1>"Per month,Per year,One-time"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2026-10-24T22:52:01Z</dcterms:created>
  <dc:creator>openpyxl</dc:creator>
  <dc:description/>
  <dc:language>en-US</dc:language>
  <cp:lastModifiedBy/>
  <dcterms:modified xsi:type="dcterms:W3CDTF">2026-10-24T22:52:01Z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